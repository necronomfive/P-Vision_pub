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te\OneDrive\Dokumente\GitHub\P-Vision\P-Vision\Documentation\"/>
    </mc:Choice>
  </mc:AlternateContent>
  <xr:revisionPtr revIDLastSave="0" documentId="13_ncr:1_{69DF7A89-4638-4A30-A2B7-7D0704C1F6E0}" xr6:coauthVersionLast="47" xr6:coauthVersionMax="47" xr10:uidLastSave="{00000000-0000-0000-0000-000000000000}"/>
  <bookViews>
    <workbookView xWindow="32655" yWindow="-16005" windowWidth="19200" windowHeight="10395" firstSheet="5" activeTab="10" xr2:uid="{E476D900-1429-4ADC-98E7-BD0432347BEA}"/>
  </bookViews>
  <sheets>
    <sheet name="Overview" sheetId="1" r:id="rId1"/>
    <sheet name="System Control" sheetId="2" r:id="rId2"/>
    <sheet name="PLL Control" sheetId="4" r:id="rId3"/>
    <sheet name="Memory Controller" sheetId="5" r:id="rId4"/>
    <sheet name="Display Timing" sheetId="6" r:id="rId5"/>
    <sheet name="Display Processor" sheetId="8" r:id="rId6"/>
    <sheet name="Display Context" sheetId="7" r:id="rId7"/>
    <sheet name="Blitter" sheetId="10" r:id="rId8"/>
    <sheet name="Color Lookup Table" sheetId="11" r:id="rId9"/>
    <sheet name="Display List" sheetId="9" r:id="rId10"/>
    <sheet name="PLL Configuration" sheetId="12" r:id="rId11"/>
    <sheet name="PCMCIA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2" l="1"/>
  <c r="I13" i="12" s="1"/>
  <c r="K33" i="12"/>
  <c r="L33" i="12"/>
  <c r="M33" i="12"/>
  <c r="N33" i="12"/>
  <c r="Q33" i="12"/>
  <c r="R33" i="12"/>
  <c r="S33" i="12"/>
  <c r="K34" i="12"/>
  <c r="L34" i="12"/>
  <c r="M34" i="12"/>
  <c r="N34" i="12"/>
  <c r="Q34" i="12"/>
  <c r="R34" i="12"/>
  <c r="S34" i="12"/>
  <c r="K24" i="12"/>
  <c r="L24" i="12"/>
  <c r="M24" i="12"/>
  <c r="N24" i="12"/>
  <c r="Q24" i="12" s="1"/>
  <c r="K25" i="12"/>
  <c r="L25" i="12"/>
  <c r="M25" i="12"/>
  <c r="N25" i="12"/>
  <c r="S25" i="12" s="1"/>
  <c r="Q25" i="12"/>
  <c r="R25" i="12"/>
  <c r="K26" i="12"/>
  <c r="L26" i="12"/>
  <c r="M26" i="12"/>
  <c r="N26" i="12"/>
  <c r="S26" i="12" s="1"/>
  <c r="Q26" i="12"/>
  <c r="R26" i="12"/>
  <c r="K27" i="12"/>
  <c r="L27" i="12"/>
  <c r="M27" i="12"/>
  <c r="N27" i="12"/>
  <c r="Q27" i="12"/>
  <c r="R27" i="12"/>
  <c r="S27" i="12"/>
  <c r="K28" i="12"/>
  <c r="L28" i="12"/>
  <c r="M28" i="12"/>
  <c r="N28" i="12"/>
  <c r="Q28" i="12"/>
  <c r="R28" i="12"/>
  <c r="S28" i="12"/>
  <c r="K29" i="12"/>
  <c r="L29" i="12"/>
  <c r="M29" i="12"/>
  <c r="N29" i="12"/>
  <c r="Q29" i="12" s="1"/>
  <c r="K30" i="12"/>
  <c r="L30" i="12"/>
  <c r="M30" i="12"/>
  <c r="N30" i="12"/>
  <c r="Q30" i="12" s="1"/>
  <c r="R30" i="12"/>
  <c r="S30" i="12"/>
  <c r="K31" i="12"/>
  <c r="L31" i="12"/>
  <c r="M31" i="12"/>
  <c r="N31" i="12"/>
  <c r="S31" i="12" s="1"/>
  <c r="Q31" i="12"/>
  <c r="R31" i="12"/>
  <c r="K32" i="12"/>
  <c r="L32" i="12"/>
  <c r="M32" i="12"/>
  <c r="N32" i="12"/>
  <c r="S32" i="12" s="1"/>
  <c r="R3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4" i="12"/>
  <c r="Q5" i="12"/>
  <c r="R5" i="12"/>
  <c r="Q6" i="12"/>
  <c r="R6" i="12"/>
  <c r="Q7" i="12"/>
  <c r="R7" i="12"/>
  <c r="Q8" i="12"/>
  <c r="R8" i="12"/>
  <c r="Q9" i="12"/>
  <c r="R9" i="12"/>
  <c r="Q10" i="12"/>
  <c r="R10" i="12"/>
  <c r="Q11" i="12"/>
  <c r="R11" i="12"/>
  <c r="Q12" i="12"/>
  <c r="R12" i="12"/>
  <c r="Q13" i="12"/>
  <c r="R13" i="12"/>
  <c r="Q14" i="12"/>
  <c r="R14" i="12"/>
  <c r="Q15" i="12"/>
  <c r="R15" i="12"/>
  <c r="Q16" i="12"/>
  <c r="R16" i="12"/>
  <c r="Q17" i="12"/>
  <c r="R17" i="12"/>
  <c r="Q18" i="12"/>
  <c r="R18" i="12"/>
  <c r="Q19" i="12"/>
  <c r="R19" i="12"/>
  <c r="Q20" i="12"/>
  <c r="R20" i="12"/>
  <c r="Q21" i="12"/>
  <c r="R21" i="12"/>
  <c r="Q22" i="12"/>
  <c r="R22" i="12"/>
  <c r="Q23" i="12"/>
  <c r="R23" i="12"/>
  <c r="R4" i="12"/>
  <c r="Q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4" i="12"/>
  <c r="U8" i="12"/>
  <c r="X8" i="12"/>
  <c r="V8" i="12"/>
  <c r="Y8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4" i="12"/>
  <c r="O29" i="12" l="1"/>
  <c r="O25" i="12"/>
  <c r="O31" i="12"/>
  <c r="I32" i="12"/>
  <c r="I24" i="12"/>
  <c r="I27" i="12"/>
  <c r="I33" i="12"/>
  <c r="I29" i="12"/>
  <c r="O26" i="12"/>
  <c r="O34" i="12"/>
  <c r="O28" i="12"/>
  <c r="I31" i="12"/>
  <c r="I26" i="12"/>
  <c r="O30" i="12"/>
  <c r="I28" i="12"/>
  <c r="I34" i="12"/>
  <c r="O33" i="12"/>
  <c r="I25" i="12"/>
  <c r="O27" i="12"/>
  <c r="I30" i="12"/>
  <c r="O24" i="12"/>
  <c r="Q32" i="12"/>
  <c r="O32" i="12"/>
  <c r="R29" i="12"/>
  <c r="S29" i="12"/>
  <c r="S24" i="12"/>
  <c r="R24" i="12"/>
  <c r="O21" i="12"/>
  <c r="O12" i="12"/>
  <c r="O23" i="12"/>
  <c r="O11" i="12"/>
  <c r="O10" i="12"/>
  <c r="O9" i="12"/>
  <c r="O8" i="12"/>
  <c r="I22" i="12"/>
  <c r="O22" i="12"/>
  <c r="I10" i="12"/>
  <c r="O4" i="12"/>
  <c r="I12" i="12"/>
  <c r="O16" i="12"/>
  <c r="I4" i="12"/>
  <c r="O7" i="12"/>
  <c r="O17" i="12"/>
  <c r="O15" i="12"/>
  <c r="O18" i="12"/>
  <c r="O19" i="12"/>
  <c r="O14" i="12"/>
  <c r="I11" i="12"/>
  <c r="O5" i="12"/>
  <c r="O6" i="12"/>
  <c r="O20" i="12"/>
  <c r="O13" i="12"/>
  <c r="I8" i="12"/>
  <c r="I7" i="12"/>
  <c r="I6" i="12"/>
  <c r="I5" i="12"/>
  <c r="I23" i="12"/>
  <c r="I21" i="12"/>
  <c r="I20" i="12"/>
  <c r="I19" i="12"/>
  <c r="I17" i="12"/>
  <c r="I16" i="12"/>
  <c r="I9" i="12"/>
  <c r="I18" i="12"/>
  <c r="I15" i="12"/>
  <c r="I14" i="12"/>
  <c r="E6" i="12" l="1"/>
  <c r="E9" i="12"/>
  <c r="V12" i="12" l="1"/>
  <c r="U12" i="12"/>
  <c r="X12" i="12"/>
  <c r="X16" i="12"/>
  <c r="U16" i="12"/>
  <c r="V16" i="12"/>
</calcChain>
</file>

<file path=xl/sharedStrings.xml><?xml version="1.0" encoding="utf-8"?>
<sst xmlns="http://schemas.openxmlformats.org/spreadsheetml/2006/main" count="1420" uniqueCount="671">
  <si>
    <t>Base Address</t>
  </si>
  <si>
    <t>Description</t>
  </si>
  <si>
    <t>Size</t>
  </si>
  <si>
    <t>0x600000</t>
  </si>
  <si>
    <t>1 MB</t>
  </si>
  <si>
    <t>Name</t>
  </si>
  <si>
    <t>Memory Region A</t>
  </si>
  <si>
    <t>0x700000</t>
  </si>
  <si>
    <t>0x800000</t>
  </si>
  <si>
    <t>0x900000</t>
  </si>
  <si>
    <t>0xa00000</t>
  </si>
  <si>
    <t>Register Area</t>
  </si>
  <si>
    <t>64 KB</t>
  </si>
  <si>
    <t>Framebuffer Paging Window</t>
  </si>
  <si>
    <t>Global Register Area</t>
  </si>
  <si>
    <t>P-Vision Global Memory Map</t>
  </si>
  <si>
    <t>P-Vision Global Register Map</t>
  </si>
  <si>
    <t>256 Bytes</t>
  </si>
  <si>
    <t>System Control</t>
  </si>
  <si>
    <t>0xa00100</t>
  </si>
  <si>
    <t>PLL Control</t>
  </si>
  <si>
    <t>0xa00200</t>
  </si>
  <si>
    <t>Memory Controller</t>
  </si>
  <si>
    <t>Blitter</t>
  </si>
  <si>
    <t>0xa00300</t>
  </si>
  <si>
    <t>Display Timing Control</t>
  </si>
  <si>
    <t>0xa00400</t>
  </si>
  <si>
    <t>Display Context A</t>
  </si>
  <si>
    <t>Display Context B</t>
  </si>
  <si>
    <t>0xa00500</t>
  </si>
  <si>
    <t>0xa00800</t>
  </si>
  <si>
    <t>Color Lookup Table A</t>
  </si>
  <si>
    <t>Color Lookup Table B</t>
  </si>
  <si>
    <t>0xa00600</t>
  </si>
  <si>
    <t>0xa00700</t>
  </si>
  <si>
    <t>0xa00c00</t>
  </si>
  <si>
    <t>1 KB</t>
  </si>
  <si>
    <t>Display Processor</t>
  </si>
  <si>
    <t>8 KB</t>
  </si>
  <si>
    <t>Display List Memory</t>
  </si>
  <si>
    <t>Memory Region B</t>
  </si>
  <si>
    <t>Memory Region C</t>
  </si>
  <si>
    <t>Memory Region D</t>
  </si>
  <si>
    <t>Global system control functions</t>
  </si>
  <si>
    <t>PLL configuration</t>
  </si>
  <si>
    <t>SDRAM memory controller</t>
  </si>
  <si>
    <t>Framebuffer parameters &amp; attributes</t>
  </si>
  <si>
    <t>Display timing &amp; Sprite</t>
  </si>
  <si>
    <t>Display context management</t>
  </si>
  <si>
    <t>Blitter for raster operations</t>
  </si>
  <si>
    <t>Color table for 8-bit modes</t>
  </si>
  <si>
    <t>Program &amp; data memory for context management</t>
  </si>
  <si>
    <t>System Control Register Map</t>
  </si>
  <si>
    <t>Base:</t>
  </si>
  <si>
    <t>Addr Offset</t>
  </si>
  <si>
    <t>Register Name</t>
  </si>
  <si>
    <t>R/W</t>
  </si>
  <si>
    <t>Bit(s)</t>
  </si>
  <si>
    <t>Function</t>
  </si>
  <si>
    <t>0x00</t>
  </si>
  <si>
    <t>ID Register</t>
  </si>
  <si>
    <t>R</t>
  </si>
  <si>
    <t>31-0</t>
  </si>
  <si>
    <t>0x04</t>
  </si>
  <si>
    <t>31-20</t>
  </si>
  <si>
    <t>FPGA core year</t>
  </si>
  <si>
    <t>19-16</t>
  </si>
  <si>
    <t>FPGA core month</t>
  </si>
  <si>
    <t>15-11</t>
  </si>
  <si>
    <t>FPGA core day</t>
  </si>
  <si>
    <t>FPGA Revision</t>
  </si>
  <si>
    <t>10-6</t>
  </si>
  <si>
    <t>FPGA core minute</t>
  </si>
  <si>
    <t>5-0</t>
  </si>
  <si>
    <t>FPGA core hour</t>
  </si>
  <si>
    <t>0x10</t>
  </si>
  <si>
    <t>Memory Region A Config</t>
  </si>
  <si>
    <t>9</t>
  </si>
  <si>
    <t>8</t>
  </si>
  <si>
    <t>4-0</t>
  </si>
  <si>
    <t>Memory Paging Window</t>
  </si>
  <si>
    <t>Memory Region B Config</t>
  </si>
  <si>
    <t>Memory Region C Config</t>
  </si>
  <si>
    <t>Memory Region D Config</t>
  </si>
  <si>
    <t>0x12</t>
  </si>
  <si>
    <t>0x14</t>
  </si>
  <si>
    <t>0x16</t>
  </si>
  <si>
    <t>0x18</t>
  </si>
  <si>
    <t>Host Interface Config</t>
  </si>
  <si>
    <t>15-8</t>
  </si>
  <si>
    <t>0</t>
  </si>
  <si>
    <t>PLL Control Register Map</t>
  </si>
  <si>
    <t>Memory Controller Register Map</t>
  </si>
  <si>
    <t>Display Timing Controller Register Map</t>
  </si>
  <si>
    <t>Display Context Register Map</t>
  </si>
  <si>
    <t>0xa00400 (A) 0xa00500 (B)</t>
  </si>
  <si>
    <t>Display Processor Register Map</t>
  </si>
  <si>
    <t>Blitter Processor Register Map</t>
  </si>
  <si>
    <t>Color Lookup Table Register Map</t>
  </si>
  <si>
    <t>0xa00800 (A) 0xa00c00 (B)</t>
  </si>
  <si>
    <t>0x000</t>
  </si>
  <si>
    <t>Color Entry 0</t>
  </si>
  <si>
    <t>23-16</t>
  </si>
  <si>
    <t>Red Value</t>
  </si>
  <si>
    <t>Green Value</t>
  </si>
  <si>
    <t>7-0</t>
  </si>
  <si>
    <t>Blue Value</t>
  </si>
  <si>
    <t>( Repeat for remaining entries )</t>
  </si>
  <si>
    <t>0x1fc</t>
  </si>
  <si>
    <t>Color Entry 255</t>
  </si>
  <si>
    <t>N Hcount</t>
  </si>
  <si>
    <t>N Lcount</t>
  </si>
  <si>
    <t>N Bypass</t>
  </si>
  <si>
    <t>N Mode</t>
  </si>
  <si>
    <t>N Ncount</t>
  </si>
  <si>
    <t>M Hcount</t>
  </si>
  <si>
    <t>M Lcount</t>
  </si>
  <si>
    <t>M Bypass</t>
  </si>
  <si>
    <t>M Mode</t>
  </si>
  <si>
    <t>M Ncount</t>
  </si>
  <si>
    <t>BUS CLK Hcount</t>
  </si>
  <si>
    <t>BUS CLK Lcount</t>
  </si>
  <si>
    <t>BUS CLK Bypass</t>
  </si>
  <si>
    <t>BUS CLK Mode</t>
  </si>
  <si>
    <t>0x02</t>
  </si>
  <si>
    <t>0x08</t>
  </si>
  <si>
    <t>0x0a</t>
  </si>
  <si>
    <t>0x0e</t>
  </si>
  <si>
    <t>0x1a</t>
  </si>
  <si>
    <t>0x1e</t>
  </si>
  <si>
    <t>0x20</t>
  </si>
  <si>
    <t>0x22</t>
  </si>
  <si>
    <t>0x24</t>
  </si>
  <si>
    <t>0x28</t>
  </si>
  <si>
    <t>0x2a</t>
  </si>
  <si>
    <t>0x30</t>
  </si>
  <si>
    <t>0x40</t>
  </si>
  <si>
    <t>0x42</t>
  </si>
  <si>
    <t>0x48</t>
  </si>
  <si>
    <t>0x4a</t>
  </si>
  <si>
    <t>0x50</t>
  </si>
  <si>
    <t>0x52</t>
  </si>
  <si>
    <t>0x58</t>
  </si>
  <si>
    <t>0x5a</t>
  </si>
  <si>
    <t>0x60</t>
  </si>
  <si>
    <t>0x62</t>
  </si>
  <si>
    <t>0x68</t>
  </si>
  <si>
    <t>0x6a</t>
  </si>
  <si>
    <t>MEMC CLK Hcount</t>
  </si>
  <si>
    <t>MEMC  CLK Lcount</t>
  </si>
  <si>
    <t>MEMC CLK Bypass</t>
  </si>
  <si>
    <t>MEMC CLK Mode</t>
  </si>
  <si>
    <t>RAM CLK Hcount</t>
  </si>
  <si>
    <t>RAM CLK Lcount</t>
  </si>
  <si>
    <t>RAM CLK Bypass</t>
  </si>
  <si>
    <t>RAM CLK Mode</t>
  </si>
  <si>
    <t>PIX CLK Hcount</t>
  </si>
  <si>
    <t>PIX CLK Lcount</t>
  </si>
  <si>
    <t>PIX CLK Bypass</t>
  </si>
  <si>
    <t>PIX CLK Mode</t>
  </si>
  <si>
    <t>SER CLK Hcount</t>
  </si>
  <si>
    <t>SER CLK Lcount</t>
  </si>
  <si>
    <t>SER CLK Bypass</t>
  </si>
  <si>
    <t>SER CLK Mode</t>
  </si>
  <si>
    <t>0x70</t>
  </si>
  <si>
    <t>0x72</t>
  </si>
  <si>
    <t>0x78</t>
  </si>
  <si>
    <t>0x7a</t>
  </si>
  <si>
    <t>0x80</t>
  </si>
  <si>
    <t>0x82</t>
  </si>
  <si>
    <t>0x88</t>
  </si>
  <si>
    <t>0x8a</t>
  </si>
  <si>
    <t>0xf0</t>
  </si>
  <si>
    <t>0xfc</t>
  </si>
  <si>
    <t>PLL Phase Config</t>
  </si>
  <si>
    <t>0xfe</t>
  </si>
  <si>
    <t>Number of phase steps</t>
  </si>
  <si>
    <t>4</t>
  </si>
  <si>
    <t>0 = Decrease shift phase</t>
  </si>
  <si>
    <t>1 = Increase shift phase</t>
  </si>
  <si>
    <t>2-0</t>
  </si>
  <si>
    <t>2 = Select BUS CLK</t>
  </si>
  <si>
    <t>3 = Select MEMC CLK</t>
  </si>
  <si>
    <t>4 = Select RAM CLK</t>
  </si>
  <si>
    <t>5 = Select PIX CLK</t>
  </si>
  <si>
    <t>6 = Select SER CLK</t>
  </si>
  <si>
    <t>PLL Phase Config Start</t>
  </si>
  <si>
    <t>Strobe</t>
  </si>
  <si>
    <t>Start PLL reconfiguration</t>
  </si>
  <si>
    <t>PLL Reconfig Start</t>
  </si>
  <si>
    <t>Start PLL phase shift</t>
  </si>
  <si>
    <t>Loop Filter Unused</t>
  </si>
  <si>
    <t>Charge Pump Unused</t>
  </si>
  <si>
    <t>VCO Post Scale</t>
  </si>
  <si>
    <t>High Count</t>
  </si>
  <si>
    <t>Low Count</t>
  </si>
  <si>
    <t>0 = Even division</t>
  </si>
  <si>
    <t>1  = Odd division</t>
  </si>
  <si>
    <t>0 = Bypass Disable</t>
  </si>
  <si>
    <t>1 = Bypass Enable</t>
  </si>
  <si>
    <t>8-0</t>
  </si>
  <si>
    <t>Nominal Count</t>
  </si>
  <si>
    <t>Charge Pump Current</t>
  </si>
  <si>
    <t>Loop Filter Capacitance</t>
  </si>
  <si>
    <t>Loop Filter Resistor</t>
  </si>
  <si>
    <t>1-0</t>
  </si>
  <si>
    <t>3</t>
  </si>
  <si>
    <t>0 = Disable Refresh</t>
  </si>
  <si>
    <t>1 = Enable Refresh</t>
  </si>
  <si>
    <t>2</t>
  </si>
  <si>
    <t>0 = Active Mode</t>
  </si>
  <si>
    <t>1 = Power-down Mode</t>
  </si>
  <si>
    <t>1</t>
  </si>
  <si>
    <t>0 = Disable Memory Controller</t>
  </si>
  <si>
    <t>1 = Enable Memory Controller</t>
  </si>
  <si>
    <t>Refresh Counter</t>
  </si>
  <si>
    <t>15-0</t>
  </si>
  <si>
    <t>Refresh Count</t>
  </si>
  <si>
    <t>Memory Controller State</t>
  </si>
  <si>
    <t>Horizontal Active Width</t>
  </si>
  <si>
    <t>Horizontal Sync Start</t>
  </si>
  <si>
    <t>Horizontal Sync Stop</t>
  </si>
  <si>
    <t>Horizontal Sync Polarity</t>
  </si>
  <si>
    <t>Horizontal Total Count</t>
  </si>
  <si>
    <t>Vertical Total Count</t>
  </si>
  <si>
    <t>Vertical Active Height</t>
  </si>
  <si>
    <t>Vertical Sync Start</t>
  </si>
  <si>
    <t>Vertical Sync Stop</t>
  </si>
  <si>
    <t>Vertical Sync Polarity</t>
  </si>
  <si>
    <t>Context Switch Line</t>
  </si>
  <si>
    <t>Context Switch Control</t>
  </si>
  <si>
    <t>Sprite Control</t>
  </si>
  <si>
    <t>Sprite Horizontal Position</t>
  </si>
  <si>
    <t>Sprite Vertical Position</t>
  </si>
  <si>
    <t>Sprite Color 1</t>
  </si>
  <si>
    <t>Sprite Color 2</t>
  </si>
  <si>
    <t>Sprite Image Write Data</t>
  </si>
  <si>
    <t>Sprite Image Address Reset</t>
  </si>
  <si>
    <t>Sprite Color 3</t>
  </si>
  <si>
    <t>0x06</t>
  </si>
  <si>
    <t>0x0c</t>
  </si>
  <si>
    <t>0x2c</t>
  </si>
  <si>
    <t>0x34</t>
  </si>
  <si>
    <t>0x38</t>
  </si>
  <si>
    <t>W</t>
  </si>
  <si>
    <t>12-0</t>
  </si>
  <si>
    <t>15</t>
  </si>
  <si>
    <t>0 = Disable Sprite</t>
  </si>
  <si>
    <t>1 = Enable Sprite</t>
  </si>
  <si>
    <t>0 = Normal sprite width</t>
  </si>
  <si>
    <t>1= Double sprite width</t>
  </si>
  <si>
    <t>0 = Normal sprite height</t>
  </si>
  <si>
    <t>1 = Double sprite height</t>
  </si>
  <si>
    <t>Sprite horizontal position (signed)</t>
  </si>
  <si>
    <t>Sprite image plane data</t>
  </si>
  <si>
    <t>Reset sprite image write address</t>
  </si>
  <si>
    <t>Horizontal total count value</t>
  </si>
  <si>
    <t>Horizontal active width</t>
  </si>
  <si>
    <t>Horizontal sync start position</t>
  </si>
  <si>
    <t>Horizontal sync stop position</t>
  </si>
  <si>
    <t>0 = Positive horizontal sync</t>
  </si>
  <si>
    <t>1 = Negative horizontal sync</t>
  </si>
  <si>
    <t>0 = Positive vertical sync</t>
  </si>
  <si>
    <t>1 = Negative vertical sync</t>
  </si>
  <si>
    <t>Line total count value</t>
  </si>
  <si>
    <t>Vertical active height</t>
  </si>
  <si>
    <t>Vertical sync start position</t>
  </si>
  <si>
    <t>Vertical sync stop position</t>
  </si>
  <si>
    <t>Set line number for context switch</t>
  </si>
  <si>
    <t>1 = Enable context switching</t>
  </si>
  <si>
    <t>0 = Disable context switching</t>
  </si>
  <si>
    <t>Framebuffer Display Mode</t>
  </si>
  <si>
    <t>1 = Enable framebuffer display</t>
  </si>
  <si>
    <t>14</t>
  </si>
  <si>
    <t>0 = Single line mode</t>
  </si>
  <si>
    <t>1 = Double line mode</t>
  </si>
  <si>
    <t>13</t>
  </si>
  <si>
    <t>1 = 1/2 pixel clock</t>
  </si>
  <si>
    <t>0 = Axxx color format</t>
  </si>
  <si>
    <t>1 = xxxA color format</t>
  </si>
  <si>
    <t>0 = RGB color format</t>
  </si>
  <si>
    <t>1 = BGR color format</t>
  </si>
  <si>
    <t>0 = 8-bit CLUT mode</t>
  </si>
  <si>
    <t>1 = 1-bit alpha, 5-bit RGB</t>
  </si>
  <si>
    <t>2 = 6-bit G, 5-bit RB</t>
  </si>
  <si>
    <t>15-12</t>
  </si>
  <si>
    <t>Horizontal fine scroll</t>
  </si>
  <si>
    <t>9-0</t>
  </si>
  <si>
    <t>Horizontal line buffer read start</t>
  </si>
  <si>
    <t>Framebuffer start address</t>
  </si>
  <si>
    <t>24-3</t>
  </si>
  <si>
    <t>Framebuffer pitch value</t>
  </si>
  <si>
    <t>0 = Full pixel clock</t>
  </si>
  <si>
    <t>Pixel data fetches per line</t>
  </si>
  <si>
    <t>Framebuffer Horizontal Offset</t>
  </si>
  <si>
    <t>Framebuffer Start Address</t>
  </si>
  <si>
    <t>Framebuffer Pitch</t>
  </si>
  <si>
    <t>Framebuffer Width</t>
  </si>
  <si>
    <t>Framebuffer Height</t>
  </si>
  <si>
    <t>Display Window Horizontal Start</t>
  </si>
  <si>
    <t>Display Window Horizontal Stop</t>
  </si>
  <si>
    <t>Display Window Vertical Start</t>
  </si>
  <si>
    <t>Display Window Vertical Stop</t>
  </si>
  <si>
    <t>Line fetches per frame</t>
  </si>
  <si>
    <t>3 = 8-bit Alpha, RGB</t>
  </si>
  <si>
    <t>Display List Instruction Word</t>
  </si>
  <si>
    <t>Code</t>
  </si>
  <si>
    <t>Parameter</t>
  </si>
  <si>
    <t>a</t>
  </si>
  <si>
    <t>m</t>
  </si>
  <si>
    <t>n</t>
  </si>
  <si>
    <t>WAIT VBLANK</t>
  </si>
  <si>
    <t>WAIT SPLIT</t>
  </si>
  <si>
    <t>SET SPLIT</t>
  </si>
  <si>
    <t>ISSUE INT</t>
  </si>
  <si>
    <t>LOAD CTX</t>
  </si>
  <si>
    <t>LOAD CLUT</t>
  </si>
  <si>
    <t>RESET CTX</t>
  </si>
  <si>
    <t>SWITCH CTX</t>
  </si>
  <si>
    <t>JUMP</t>
  </si>
  <si>
    <t>Wait for vertical blank</t>
  </si>
  <si>
    <t>Wait until split position is reached</t>
  </si>
  <si>
    <t>Set split at line n</t>
  </si>
  <si>
    <t>Issue int to CPU with message m</t>
  </si>
  <si>
    <t>s</t>
  </si>
  <si>
    <t>Reset to context A, load data size size s</t>
  </si>
  <si>
    <t>Switch to next context, load data size s</t>
  </si>
  <si>
    <t>Display Processor Control</t>
  </si>
  <si>
    <t>1 = Display Processor Run</t>
  </si>
  <si>
    <t>Interrupt message</t>
  </si>
  <si>
    <t>11-0</t>
  </si>
  <si>
    <t>Message m from ISSUE INT Instruction</t>
  </si>
  <si>
    <t>0 = Display Processor Stop</t>
  </si>
  <si>
    <t>Display Processor PC Load Value</t>
  </si>
  <si>
    <t>Program Counter Load Value</t>
  </si>
  <si>
    <t>Interrupt Mask Register</t>
  </si>
  <si>
    <t>0 = Clear written bits</t>
  </si>
  <si>
    <t>1 = Set written bits</t>
  </si>
  <si>
    <t>0 = Blitter interrupt disable</t>
  </si>
  <si>
    <t>1 = Blitter interrupt enable</t>
  </si>
  <si>
    <t>0 = Display Processor interrupt disable</t>
  </si>
  <si>
    <t>1 = Display Processor interrupt enable</t>
  </si>
  <si>
    <t>0 = Vertical blank interrupt disable</t>
  </si>
  <si>
    <t>1 = Vertical blank interrupt enable</t>
  </si>
  <si>
    <t>Interrupt Occurence Register</t>
  </si>
  <si>
    <t>FPGA ID High Word</t>
  </si>
  <si>
    <t>FPGA ID Low Word</t>
  </si>
  <si>
    <t>Unique FPGA ID High Word</t>
  </si>
  <si>
    <t>Unique FPGA ID Low Word</t>
  </si>
  <si>
    <t>0xe0</t>
  </si>
  <si>
    <t>FPGA Flash Data Address</t>
  </si>
  <si>
    <t>FPGA Flash Data Write Port</t>
  </si>
  <si>
    <t>FPGA Flash Data Write Strobe</t>
  </si>
  <si>
    <t>FPGA Flash Data Read Strobe</t>
  </si>
  <si>
    <t>FPGA Flash Data Read Port</t>
  </si>
  <si>
    <t>FPGA Flash Data Status</t>
  </si>
  <si>
    <t>FPGA Flash Control Address</t>
  </si>
  <si>
    <t>FPGA Flash Control Data Write</t>
  </si>
  <si>
    <t>FPGA Flash Control Write Strobe</t>
  </si>
  <si>
    <t>FPGA Flash Control Read Strobe</t>
  </si>
  <si>
    <t>FPGA Flash Control Read Data</t>
  </si>
  <si>
    <t>0xe2 / 0xe4</t>
  </si>
  <si>
    <t>0xe6</t>
  </si>
  <si>
    <t>0xe8</t>
  </si>
  <si>
    <t>0xea / 0xec</t>
  </si>
  <si>
    <t>0xee</t>
  </si>
  <si>
    <t>0xf2 / 0xf4</t>
  </si>
  <si>
    <t>0xf6</t>
  </si>
  <si>
    <t>0xf8</t>
  </si>
  <si>
    <t>0xfa / 0xfc</t>
  </si>
  <si>
    <t>Master Clock</t>
  </si>
  <si>
    <t>MHz</t>
  </si>
  <si>
    <t>Multiplier</t>
  </si>
  <si>
    <t>VCO Clock</t>
  </si>
  <si>
    <t>SER Clk Configuration</t>
  </si>
  <si>
    <t>Divide</t>
  </si>
  <si>
    <t>CLK</t>
  </si>
  <si>
    <t>HCOUNT</t>
  </si>
  <si>
    <t>LCOUNT</t>
  </si>
  <si>
    <t>MODE</t>
  </si>
  <si>
    <t>0x1</t>
  </si>
  <si>
    <t>0x0</t>
  </si>
  <si>
    <t>PIX Clk Configuration</t>
  </si>
  <si>
    <t>BYPASS</t>
  </si>
  <si>
    <t>NCOUNT</t>
  </si>
  <si>
    <t>N Configuration</t>
  </si>
  <si>
    <t>M Configuration</t>
  </si>
  <si>
    <t>Memory Clock</t>
  </si>
  <si>
    <t>Best Match</t>
  </si>
  <si>
    <t>Bus Clock</t>
  </si>
  <si>
    <t>BUS Clk Configuration</t>
  </si>
  <si>
    <t>MEMC &amp; RAM Clk Configuration</t>
  </si>
  <si>
    <t>PIX Clk must always be 1/5 of Ser Clk. Program matching dividers Accordingly.</t>
  </si>
  <si>
    <t>ENTER</t>
  </si>
  <si>
    <t>Please see sheet "PLL Configuration" for programming reference</t>
  </si>
  <si>
    <t>0xd8</t>
  </si>
  <si>
    <t>0xdc</t>
  </si>
  <si>
    <t>0 = Disable framebuffer display</t>
  </si>
  <si>
    <t>Display Processor Status</t>
  </si>
  <si>
    <t>0 = Display Processor Stopped</t>
  </si>
  <si>
    <t>1 = Display Processor active</t>
  </si>
  <si>
    <t>Example Display List</t>
  </si>
  <si>
    <t>0xa02000</t>
  </si>
  <si>
    <t>Absolute jump to word address a</t>
  </si>
  <si>
    <t>Load CLUT with data from dword address a</t>
  </si>
  <si>
    <t>Load context with data from dword address a</t>
  </si>
  <si>
    <t>0xa02002</t>
  </si>
  <si>
    <t>0xa02004</t>
  </si>
  <si>
    <t>0xa02006</t>
  </si>
  <si>
    <t>0xa02008</t>
  </si>
  <si>
    <t>Wait for reaching of split line</t>
  </si>
  <si>
    <t>0xa02040</t>
  </si>
  <si>
    <t>0xa02042</t>
  </si>
  <si>
    <t>(…)</t>
  </si>
  <si>
    <t>0xa02054</t>
  </si>
  <si>
    <t>Value for Context Register 0x00 (Framebuffer display mode)</t>
  </si>
  <si>
    <t>Value for Context Register 0x02 (Framebuffer horizontal offset)</t>
  </si>
  <si>
    <t>0xa02056</t>
  </si>
  <si>
    <t>Value for Context Register 0x14 (Display window vertical start)</t>
  </si>
  <si>
    <t>Value for Context Register 0x16 (Display window vertical stop)</t>
  </si>
  <si>
    <t>0xa0200a</t>
  </si>
  <si>
    <t>0xa0200c</t>
  </si>
  <si>
    <t>0xa0200e</t>
  </si>
  <si>
    <t>0xa02010</t>
  </si>
  <si>
    <t>0xa02012</t>
  </si>
  <si>
    <t>0xa02014</t>
  </si>
  <si>
    <t>0xa02016</t>
  </si>
  <si>
    <t>0xa02018</t>
  </si>
  <si>
    <r>
      <t xml:space="preserve">Reset to context a, size : </t>
    </r>
    <r>
      <rPr>
        <b/>
        <sz val="10"/>
        <color theme="1"/>
        <rFont val="Bahnschrift Light"/>
        <family val="2"/>
      </rPr>
      <t>6 DWORD</t>
    </r>
  </si>
  <si>
    <r>
      <t xml:space="preserve">Load context from address </t>
    </r>
    <r>
      <rPr>
        <b/>
        <sz val="10"/>
        <color theme="1"/>
        <rFont val="Bahnschrift Light"/>
        <family val="2"/>
      </rPr>
      <t>0xa02040</t>
    </r>
  </si>
  <si>
    <r>
      <t xml:space="preserve">Switch to next context, size: </t>
    </r>
    <r>
      <rPr>
        <b/>
        <sz val="10"/>
        <color theme="1"/>
        <rFont val="Bahnschrift Light"/>
        <family val="2"/>
      </rPr>
      <t>6 DWORD</t>
    </r>
  </si>
  <si>
    <r>
      <t xml:space="preserve">Load context from address </t>
    </r>
    <r>
      <rPr>
        <b/>
        <sz val="10"/>
        <color theme="1"/>
        <rFont val="Bahnschrift Light"/>
        <family val="2"/>
      </rPr>
      <t>0xa02080</t>
    </r>
  </si>
  <si>
    <r>
      <t xml:space="preserve">Set split at line </t>
    </r>
    <r>
      <rPr>
        <b/>
        <sz val="10"/>
        <color theme="1"/>
        <rFont val="Bahnschrift Light"/>
        <family val="2"/>
      </rPr>
      <t>256</t>
    </r>
  </si>
  <si>
    <r>
      <t>Switch to next context, size:</t>
    </r>
    <r>
      <rPr>
        <b/>
        <sz val="10"/>
        <color theme="1"/>
        <rFont val="Bahnschrift Light"/>
        <family val="2"/>
      </rPr>
      <t xml:space="preserve"> 6 DWORD</t>
    </r>
  </si>
  <si>
    <r>
      <t xml:space="preserve">Load context from address </t>
    </r>
    <r>
      <rPr>
        <b/>
        <sz val="10"/>
        <color theme="1"/>
        <rFont val="Bahnschrift Light"/>
        <family val="2"/>
      </rPr>
      <t>0xa020c0</t>
    </r>
  </si>
  <si>
    <r>
      <t xml:space="preserve">Load CLUT data from address </t>
    </r>
    <r>
      <rPr>
        <b/>
        <sz val="10"/>
        <color theme="1"/>
        <rFont val="Bahnschrift Light"/>
        <family val="2"/>
      </rPr>
      <t>0xa02400</t>
    </r>
  </si>
  <si>
    <r>
      <t xml:space="preserve">Set split at line </t>
    </r>
    <r>
      <rPr>
        <b/>
        <sz val="10"/>
        <color theme="1"/>
        <rFont val="Bahnschrift Light"/>
        <family val="2"/>
      </rPr>
      <t>288</t>
    </r>
  </si>
  <si>
    <r>
      <t xml:space="preserve">Jump to address </t>
    </r>
    <r>
      <rPr>
        <b/>
        <sz val="10"/>
        <color theme="1"/>
        <rFont val="Bahnschrift Light"/>
        <family val="2"/>
      </rPr>
      <t>$a02000</t>
    </r>
  </si>
  <si>
    <t>Synchronise to Display</t>
  </si>
  <si>
    <t>Preload phase at start of display
Screen 1 and 2</t>
  </si>
  <si>
    <t>Synchronise to Screen Split 
between 1 and 2</t>
  </si>
  <si>
    <t>Preload phase for Screen 3</t>
  </si>
  <si>
    <t>Synchronise to Screen Split
between 2 and 3</t>
  </si>
  <si>
    <t>End of display, restart display list</t>
  </si>
  <si>
    <t>Same Register
offset definitions
as described on
sheet "Display Context"</t>
  </si>
  <si>
    <t>0 = Standard endianess (Big)</t>
  </si>
  <si>
    <t>1 = Swap WORD in DWORDs</t>
  </si>
  <si>
    <t>1 = Swap BYTE in WORDS</t>
  </si>
  <si>
    <t>12</t>
  </si>
  <si>
    <t>11</t>
  </si>
  <si>
    <t>Preliminary Specification - Subject to change</t>
  </si>
  <si>
    <t>P-Vision HW ID</t>
  </si>
  <si>
    <t>0 = Pre-production prototype</t>
  </si>
  <si>
    <t>1 = Release hardware</t>
  </si>
  <si>
    <t>0x18 / 0x1a</t>
  </si>
  <si>
    <t>Display Window Color</t>
  </si>
  <si>
    <t>0 = Sprite is masked by Window</t>
  </si>
  <si>
    <t>1 = Sprite display has priority</t>
  </si>
  <si>
    <t>Card ID String ("P-VISION")</t>
  </si>
  <si>
    <t>63-0</t>
  </si>
  <si>
    <t>Display Status</t>
  </si>
  <si>
    <t>0 = Raster beam is outside of VBLANK</t>
  </si>
  <si>
    <t>1 = Raster beam is inside VBLANK</t>
  </si>
  <si>
    <t>0 = Raster beam is outside of HBLANK</t>
  </si>
  <si>
    <t>1 = Raster beam is inside HBLANK</t>
  </si>
  <si>
    <t>PLL Status</t>
  </si>
  <si>
    <t>0 = PLL configuration active</t>
  </si>
  <si>
    <t>1 = PLL is loading configuration</t>
  </si>
  <si>
    <t>0 = PLL not locked</t>
  </si>
  <si>
    <t>1 = PLL locked</t>
  </si>
  <si>
    <t>0xf2</t>
  </si>
  <si>
    <t>P-Vision generates INT2 interrupts via PCMCIA port</t>
  </si>
  <si>
    <t>Display Control</t>
  </si>
  <si>
    <t>0 = Pixel serializer output enabled</t>
  </si>
  <si>
    <t>1 = Pixel serializer output disabled</t>
  </si>
  <si>
    <t>^^</t>
  </si>
  <si>
    <t>0x8C</t>
  </si>
  <si>
    <t>0x90</t>
  </si>
  <si>
    <t>0x92</t>
  </si>
  <si>
    <t>0x94</t>
  </si>
  <si>
    <t>0x96</t>
  </si>
  <si>
    <t>0x98</t>
  </si>
  <si>
    <t>0xa0</t>
  </si>
  <si>
    <t>0xa2</t>
  </si>
  <si>
    <t>PCMCIA Metadata (see sheet "PCMCIA")</t>
  </si>
  <si>
    <t>0x00-0x3f</t>
  </si>
  <si>
    <t>Under construction ;-)</t>
  </si>
  <si>
    <t>Memory Controller Status</t>
  </si>
  <si>
    <t>0 = Transaction queues have pending requests</t>
  </si>
  <si>
    <t>1 = Transaction queues are empty</t>
  </si>
  <si>
    <t>0 = Memory command sequencer is active</t>
  </si>
  <si>
    <t>1 = Memory command sequencer is in idle state</t>
  </si>
  <si>
    <t>0 = Read data buffer enabled</t>
  </si>
  <si>
    <t>1 = Read data buffer disabled</t>
  </si>
  <si>
    <t>5</t>
  </si>
  <si>
    <t>6</t>
  </si>
  <si>
    <t>7</t>
  </si>
  <si>
    <t>0x26</t>
  </si>
  <si>
    <t>DMA Control Register</t>
  </si>
  <si>
    <t>DMA Source Y Start (in pixels)</t>
  </si>
  <si>
    <t>DMA Source X Start (in pixels)</t>
  </si>
  <si>
    <t>DMA Source Base Pointer</t>
  </si>
  <si>
    <t>0 = DMA destination standard endianess (big endian)</t>
  </si>
  <si>
    <t>1 = DMA destination swap WORD in DWORDs</t>
  </si>
  <si>
    <t>1 = DMA destination swap BYTE in WORDs</t>
  </si>
  <si>
    <t>0 = DMA source standard endianess (big endian)</t>
  </si>
  <si>
    <t>1 = DMA source swap WORD in DWORDs</t>
  </si>
  <si>
    <t>1 = DMA source swap BYTE in WORDs</t>
  </si>
  <si>
    <t>0x1c</t>
  </si>
  <si>
    <t>DMA Destination Base Pointer</t>
  </si>
  <si>
    <t>DMA Destination Line Mode Error Accumulator</t>
  </si>
  <si>
    <t>DMA Destination Line Mode Increment Value</t>
  </si>
  <si>
    <t>DMA Destination Line Mode Decrement Value</t>
  </si>
  <si>
    <t>0x2e</t>
  </si>
  <si>
    <t>3-0</t>
  </si>
  <si>
    <t>Mix Color A Value</t>
  </si>
  <si>
    <t>Mix Color B Value</t>
  </si>
  <si>
    <t>0x46</t>
  </si>
  <si>
    <t>7-4</t>
  </si>
  <si>
    <t>Mono Host Write Data</t>
  </si>
  <si>
    <t>Mono Pattern Control Register</t>
  </si>
  <si>
    <t>10-8</t>
  </si>
  <si>
    <t>0 = 16x1 mono pattern size</t>
  </si>
  <si>
    <t>1 = 16x2 mono pattern size</t>
  </si>
  <si>
    <t>2 = 16x4 mono pattern size</t>
  </si>
  <si>
    <t>3 = 16x8 mono pattern size</t>
  </si>
  <si>
    <t>4 = 16x16 mono pattern size</t>
  </si>
  <si>
    <t>Mono pattern Y shift value</t>
  </si>
  <si>
    <t>Mono pattern X shift value</t>
  </si>
  <si>
    <t>Data Path Control Register</t>
  </si>
  <si>
    <t>2-1</t>
  </si>
  <si>
    <t>1 = Use color mix B register as background source</t>
  </si>
  <si>
    <t>2 = Use source DMA as background source</t>
  </si>
  <si>
    <t>0 = Use color mix A register as background source</t>
  </si>
  <si>
    <t>4-3</t>
  </si>
  <si>
    <t>0 = Use color mix A register as foreground source</t>
  </si>
  <si>
    <t>1 = Use color mix B register as foreground source</t>
  </si>
  <si>
    <t>0 = Use mono pattern as mono source</t>
  </si>
  <si>
    <t>1 = Use mono pattern host data as mono source</t>
  </si>
  <si>
    <t>0 = Disable mono color muxing</t>
  </si>
  <si>
    <t>1 = Enable mono color muxing</t>
  </si>
  <si>
    <t>Blit Control Register</t>
  </si>
  <si>
    <t>0 = Stop blit</t>
  </si>
  <si>
    <t>1 = Start blit</t>
  </si>
  <si>
    <t>Blit Status Register</t>
  </si>
  <si>
    <t>0 = Blitter is idle</t>
  </si>
  <si>
    <t>1 = Blitter is busy</t>
  </si>
  <si>
    <t>Mono Pattern Data Line 0</t>
  </si>
  <si>
    <t>Mono Pattern Data Line 1</t>
  </si>
  <si>
    <t>Mono Pattern Data Line 2</t>
  </si>
  <si>
    <t>Mono Pattern Data Line 3</t>
  </si>
  <si>
    <t>0xf4</t>
  </si>
  <si>
    <t>Mono Pattern Data Line 4</t>
  </si>
  <si>
    <t>Mono Pattern Data Line 5</t>
  </si>
  <si>
    <t>Mono Pattern Data Line 6</t>
  </si>
  <si>
    <t>Mono Pattern Data Line 7</t>
  </si>
  <si>
    <t>Mono Pattern Data Line 8</t>
  </si>
  <si>
    <t>Mono Pattern Data Line 9</t>
  </si>
  <si>
    <t>Mono Pattern Data Line 10</t>
  </si>
  <si>
    <t>Mono Pattern Data Line 11</t>
  </si>
  <si>
    <t>Mono Pattern Data Line 12</t>
  </si>
  <si>
    <t>Mono Pattern Data Line 13</t>
  </si>
  <si>
    <t>Mono Pattern Data Line 14</t>
  </si>
  <si>
    <t>Mono Pattern Data Line 15</t>
  </si>
  <si>
    <t>0xe2</t>
  </si>
  <si>
    <t>0xe4</t>
  </si>
  <si>
    <t>0xea</t>
  </si>
  <si>
    <t>0xec</t>
  </si>
  <si>
    <t>0xfa</t>
  </si>
  <si>
    <t>Mono pixel pattern for line 0</t>
  </si>
  <si>
    <t>Mono pixel pattern for line 1</t>
  </si>
  <si>
    <t>Mono pixel pattern for line 2</t>
  </si>
  <si>
    <t>Mono pixel pattern for line 3</t>
  </si>
  <si>
    <t>Mono pixel pattern for line 4</t>
  </si>
  <si>
    <t>Mono pixel pattern for line 5</t>
  </si>
  <si>
    <t>Mono pixel pattern for line 6</t>
  </si>
  <si>
    <t>Mono pixel pattern for line 7</t>
  </si>
  <si>
    <t>Mono pixel pattern for line 8</t>
  </si>
  <si>
    <t>Mono pixel pattern for line 9</t>
  </si>
  <si>
    <t>Mono pixel pattern for line 10</t>
  </si>
  <si>
    <t>Mono pixel pattern for line 11</t>
  </si>
  <si>
    <t>Mono pixel pattern for line 12</t>
  </si>
  <si>
    <t>Mono pixel pattern for line 13</t>
  </si>
  <si>
    <t>Mono pixel pattern for line 14</t>
  </si>
  <si>
    <t>Mono pixel pattern for line 15</t>
  </si>
  <si>
    <t>DMA source area width (in pixels)</t>
  </si>
  <si>
    <t>DMA source area height (in pixels)</t>
  </si>
  <si>
    <t>DMA source area x start position (in pixels)</t>
  </si>
  <si>
    <t>DMA source area y start position (in pixels)</t>
  </si>
  <si>
    <t>DMA destination area x start position (in pixels)</t>
  </si>
  <si>
    <t>DMA destination area y start position (in pixels)</t>
  </si>
  <si>
    <t>DMA destination area clipping window x start position (in pixels)</t>
  </si>
  <si>
    <t>DMA destination area clipping window y start position (in pixels)</t>
  </si>
  <si>
    <t>DMA destination line mode error accumulatior</t>
  </si>
  <si>
    <t>DMA destination line mode increment value</t>
  </si>
  <si>
    <t>DMA destination line mode decrement value</t>
  </si>
  <si>
    <t>DMA destination line mode length</t>
  </si>
  <si>
    <t>Fixed color value for mixing</t>
  </si>
  <si>
    <t>Host write data for mono pattern</t>
  </si>
  <si>
    <t>DMA Destination Pitch</t>
  </si>
  <si>
    <t>DMA Destination X Start</t>
  </si>
  <si>
    <t>DMA Destination Y Start</t>
  </si>
  <si>
    <t>DMA Destination Clip Window X Start</t>
  </si>
  <si>
    <t>DMA Destination Clip Window Y Start</t>
  </si>
  <si>
    <t>DMA Destination Clip Window Width</t>
  </si>
  <si>
    <t>DMA Destination Clip Window Height</t>
  </si>
  <si>
    <t>DMA Destination Line Mode Length</t>
  </si>
  <si>
    <t>0 = Increment X xoordinate / line mode octant X</t>
  </si>
  <si>
    <t>1 = Decrement X xoordinate / line mode octant X</t>
  </si>
  <si>
    <t>1 = Decrement Y coordinate / line mode octant Y</t>
  </si>
  <si>
    <t>0 = Increment Y coordinate / line mode octant Y</t>
  </si>
  <si>
    <t>Line mode octant Y major</t>
  </si>
  <si>
    <t>0 = Line mode error accumulation value 0 is positive</t>
  </si>
  <si>
    <t>1 = Line mode error accumulation value 0 is negative</t>
  </si>
  <si>
    <t>DMA Source / Destination Width (in pixels)</t>
  </si>
  <si>
    <t>DMA Source / Destination Height (in pixels)</t>
  </si>
  <si>
    <t>DMA Source Pitch</t>
  </si>
  <si>
    <t>DMA destination bitmap base pointer</t>
  </si>
  <si>
    <t>DMA source bitmap base pointer</t>
  </si>
  <si>
    <t>9-8</t>
  </si>
  <si>
    <t>0 = Use 8-bit pixel depth</t>
  </si>
  <si>
    <t>1 = Use 16-bit pixel depth</t>
  </si>
  <si>
    <t>2 = Use 32-bit pixel depth</t>
  </si>
  <si>
    <t>10</t>
  </si>
  <si>
    <t>0 = Align mono pattern to destination bitmap coordinates</t>
  </si>
  <si>
    <t>0 = Draw rectangle</t>
  </si>
  <si>
    <t>1 = Draw line</t>
  </si>
  <si>
    <t>DMA Destination Byte Write Mask</t>
  </si>
  <si>
    <t>1 = Align mono pattern to destination draw area coordinates</t>
  </si>
  <si>
    <t>0x54</t>
  </si>
  <si>
    <t>Blitter Bus Control Register</t>
  </si>
  <si>
    <t>Set maximum amount of pending read transactions</t>
  </si>
  <si>
    <t>2 = Use source DMA as foreground source</t>
  </si>
  <si>
    <t>0 = No write data delay</t>
  </si>
  <si>
    <t>1 = Delay write data by 1 clk</t>
  </si>
  <si>
    <t>2 = Delay write data by 2 clk</t>
  </si>
  <si>
    <t>11-10</t>
  </si>
  <si>
    <t>0 = No read data delay</t>
  </si>
  <si>
    <t>1 = Delay read data by 1 clk</t>
  </si>
  <si>
    <t>2 = Delay read data by 2 clk</t>
  </si>
  <si>
    <t>0 = Use unlatched address</t>
  </si>
  <si>
    <t>1 = Use latched address</t>
  </si>
  <si>
    <t>0 = HSYNC &amp; VSYNC enabled</t>
  </si>
  <si>
    <t>1 = HSYNC disabled, VSYNC enabled</t>
  </si>
  <si>
    <t>2 = HSYNC enabled, VSYNC disabled</t>
  </si>
  <si>
    <t>3 = SYNC &amp; Date Enable disabled</t>
  </si>
  <si>
    <t>1 = Select: ~D &amp; ~S &amp; ~P</t>
  </si>
  <si>
    <t>1 = Select: D &amp; ~S &amp; ~P</t>
  </si>
  <si>
    <t>1 = Select: ~D &amp; S &amp; ~P</t>
  </si>
  <si>
    <t>1 = Select: D &amp; S &amp; ~P</t>
  </si>
  <si>
    <t>1 = Select: D &amp; S &amp; P</t>
  </si>
  <si>
    <t>1 = Select: ~D &amp; S &amp; P</t>
  </si>
  <si>
    <t>1 = Select: D &amp; ~S &amp; P</t>
  </si>
  <si>
    <t>1 = Select: ~D &amp; ~S &amp; P</t>
  </si>
  <si>
    <t>0 = Disable Mono Pattern (P) input to LFU</t>
  </si>
  <si>
    <t>LFU Minterm Control Register</t>
  </si>
  <si>
    <t>1 = Enable Mono Pattern (P) input to LFU</t>
  </si>
  <si>
    <t>0 = Disable Destination Read (D) input to LFU</t>
  </si>
  <si>
    <t>1 = Enable Destination Read (D) input to LFU</t>
  </si>
  <si>
    <t>Destination byte write enable bits</t>
  </si>
  <si>
    <t>Color Mask Value</t>
  </si>
  <si>
    <t>Fixed color value for pixel write masking</t>
  </si>
  <si>
    <t>0x3c</t>
  </si>
  <si>
    <t>Color Write Mask Control</t>
  </si>
  <si>
    <t>0 = No color write masking</t>
  </si>
  <si>
    <t>1 = Use color mask value for write masking</t>
  </si>
  <si>
    <t>DMA destination bitmap total horizontal size (aligned to 64-bits)</t>
  </si>
  <si>
    <t>DMA source bitmap total horizontal size (aligned to 64-bits)</t>
  </si>
  <si>
    <t>0x44</t>
  </si>
  <si>
    <t>Mono Host Write Data Control Register</t>
  </si>
  <si>
    <t>Host write data shift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</si>
</sst>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 Light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Bahnschrift"/>
      <family val="2"/>
    </font>
    <font>
      <sz val="9"/>
      <color theme="1"/>
      <name val="Bahnschrift Light"/>
      <family val="2"/>
    </font>
    <font>
      <sz val="9"/>
      <color theme="1"/>
      <name val="Bahnschrift"/>
      <family val="2"/>
    </font>
    <font>
      <sz val="10"/>
      <color theme="0"/>
      <name val="Bahnschrift"/>
      <family val="2"/>
    </font>
    <font>
      <b/>
      <sz val="10"/>
      <color theme="1"/>
      <name val="Bahnschrift Light"/>
      <family val="2"/>
    </font>
    <font>
      <sz val="22"/>
      <color rgb="FFFF0000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/>
    <xf numFmtId="0" fontId="2" fillId="0" borderId="6" xfId="0" applyFont="1" applyBorder="1"/>
    <xf numFmtId="0" fontId="2" fillId="0" borderId="9" xfId="0" applyFont="1" applyBorder="1"/>
    <xf numFmtId="0" fontId="1" fillId="2" borderId="11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1" fillId="2" borderId="13" xfId="0" applyFont="1" applyFill="1" applyBorder="1"/>
    <xf numFmtId="0" fontId="1" fillId="2" borderId="16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1" fillId="2" borderId="20" xfId="0" applyFont="1" applyFill="1" applyBorder="1"/>
    <xf numFmtId="0" fontId="2" fillId="0" borderId="21" xfId="0" applyFont="1" applyBorder="1"/>
    <xf numFmtId="0" fontId="5" fillId="2" borderId="16" xfId="0" applyFont="1" applyFill="1" applyBorder="1"/>
    <xf numFmtId="49" fontId="0" fillId="0" borderId="0" xfId="0" applyNumberFormat="1"/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3" borderId="4" xfId="0" applyFont="1" applyFill="1" applyBorder="1"/>
    <xf numFmtId="0" fontId="1" fillId="3" borderId="17" xfId="0" applyFont="1" applyFill="1" applyBorder="1"/>
    <xf numFmtId="0" fontId="2" fillId="3" borderId="17" xfId="0" applyFont="1" applyFill="1" applyBorder="1" applyAlignment="1">
      <alignment horizontal="center"/>
    </xf>
    <xf numFmtId="0" fontId="2" fillId="3" borderId="29" xfId="0" applyFont="1" applyFill="1" applyBorder="1"/>
    <xf numFmtId="0" fontId="2" fillId="3" borderId="6" xfId="0" applyFont="1" applyFill="1" applyBorder="1"/>
    <xf numFmtId="0" fontId="2" fillId="3" borderId="26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0" fillId="4" borderId="0" xfId="0" applyFill="1"/>
    <xf numFmtId="0" fontId="1" fillId="4" borderId="13" xfId="0" applyFont="1" applyFill="1" applyBorder="1"/>
    <xf numFmtId="0" fontId="1" fillId="4" borderId="14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1" fillId="4" borderId="10" xfId="0" applyFont="1" applyFill="1" applyBorder="1"/>
    <xf numFmtId="0" fontId="1" fillId="4" borderId="16" xfId="0" applyFont="1" applyFill="1" applyBorder="1"/>
    <xf numFmtId="0" fontId="1" fillId="4" borderId="16" xfId="0" applyFont="1" applyFill="1" applyBorder="1" applyAlignment="1">
      <alignment horizontal="center"/>
    </xf>
    <xf numFmtId="0" fontId="1" fillId="4" borderId="9" xfId="0" applyFont="1" applyFill="1" applyBorder="1"/>
    <xf numFmtId="0" fontId="5" fillId="3" borderId="17" xfId="0" applyFont="1" applyFill="1" applyBorder="1"/>
    <xf numFmtId="0" fontId="5" fillId="3" borderId="26" xfId="0" applyFont="1" applyFill="1" applyBorder="1"/>
    <xf numFmtId="0" fontId="5" fillId="0" borderId="0" xfId="0" applyFont="1"/>
    <xf numFmtId="0" fontId="5" fillId="0" borderId="8" xfId="0" applyFont="1" applyBorder="1"/>
    <xf numFmtId="0" fontId="5" fillId="0" borderId="27" xfId="0" applyFont="1" applyBorder="1"/>
    <xf numFmtId="0" fontId="5" fillId="0" borderId="17" xfId="0" applyFont="1" applyBorder="1"/>
    <xf numFmtId="0" fontId="5" fillId="0" borderId="18" xfId="0" applyFont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4" borderId="14" xfId="0" applyFont="1" applyFill="1" applyBorder="1"/>
    <xf numFmtId="0" fontId="5" fillId="4" borderId="33" xfId="0" applyFont="1" applyFill="1" applyBorder="1"/>
    <xf numFmtId="49" fontId="2" fillId="3" borderId="17" xfId="0" applyNumberFormat="1" applyFont="1" applyFill="1" applyBorder="1" applyAlignment="1">
      <alignment horizontal="center"/>
    </xf>
    <xf numFmtId="49" fontId="2" fillId="3" borderId="21" xfId="0" applyNumberFormat="1" applyFont="1" applyFill="1" applyBorder="1" applyAlignment="1">
      <alignment horizontal="center"/>
    </xf>
    <xf numFmtId="49" fontId="2" fillId="3" borderId="26" xfId="0" applyNumberFormat="1" applyFont="1" applyFill="1" applyBorder="1" applyAlignment="1">
      <alignment horizontal="center"/>
    </xf>
    <xf numFmtId="49" fontId="2" fillId="3" borderId="18" xfId="0" applyNumberFormat="1" applyFont="1" applyFill="1" applyBorder="1" applyAlignment="1">
      <alignment horizontal="center"/>
    </xf>
    <xf numFmtId="0" fontId="2" fillId="3" borderId="34" xfId="0" applyFont="1" applyFill="1" applyBorder="1"/>
    <xf numFmtId="0" fontId="2" fillId="3" borderId="35" xfId="0" applyFont="1" applyFill="1" applyBorder="1"/>
    <xf numFmtId="0" fontId="5" fillId="4" borderId="36" xfId="0" applyFont="1" applyFill="1" applyBorder="1"/>
    <xf numFmtId="0" fontId="5" fillId="3" borderId="21" xfId="0" applyFont="1" applyFill="1" applyBorder="1"/>
    <xf numFmtId="0" fontId="1" fillId="4" borderId="37" xfId="0" applyFont="1" applyFill="1" applyBorder="1"/>
    <xf numFmtId="0" fontId="2" fillId="3" borderId="6" xfId="0" applyFont="1" applyFill="1" applyBorder="1" applyAlignment="1">
      <alignment horizontal="left"/>
    </xf>
    <xf numFmtId="0" fontId="1" fillId="4" borderId="12" xfId="0" applyFont="1" applyFill="1" applyBorder="1"/>
    <xf numFmtId="0" fontId="0" fillId="3" borderId="0" xfId="0" applyFill="1"/>
    <xf numFmtId="0" fontId="5" fillId="4" borderId="5" xfId="0" applyFont="1" applyFill="1" applyBorder="1"/>
    <xf numFmtId="0" fontId="2" fillId="0" borderId="6" xfId="0" applyFont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0" fillId="3" borderId="40" xfId="0" applyFill="1" applyBorder="1"/>
    <xf numFmtId="0" fontId="5" fillId="3" borderId="22" xfId="0" applyFont="1" applyFill="1" applyBorder="1"/>
    <xf numFmtId="0" fontId="2" fillId="3" borderId="27" xfId="0" applyFont="1" applyFill="1" applyBorder="1" applyAlignment="1">
      <alignment horizontal="center"/>
    </xf>
    <xf numFmtId="0" fontId="2" fillId="3" borderId="17" xfId="0" applyFont="1" applyFill="1" applyBorder="1"/>
    <xf numFmtId="0" fontId="2" fillId="3" borderId="21" xfId="0" applyFont="1" applyFill="1" applyBorder="1"/>
    <xf numFmtId="49" fontId="2" fillId="3" borderId="27" xfId="0" applyNumberFormat="1" applyFont="1" applyFill="1" applyBorder="1" applyAlignment="1">
      <alignment horizontal="center"/>
    </xf>
    <xf numFmtId="0" fontId="5" fillId="3" borderId="41" xfId="0" applyFont="1" applyFill="1" applyBorder="1"/>
    <xf numFmtId="0" fontId="0" fillId="3" borderId="24" xfId="0" applyFill="1" applyBorder="1"/>
    <xf numFmtId="0" fontId="0" fillId="3" borderId="25" xfId="0" applyFill="1" applyBorder="1"/>
    <xf numFmtId="0" fontId="2" fillId="3" borderId="18" xfId="0" applyFont="1" applyFill="1" applyBorder="1"/>
    <xf numFmtId="0" fontId="5" fillId="4" borderId="37" xfId="0" applyFont="1" applyFill="1" applyBorder="1"/>
    <xf numFmtId="0" fontId="0" fillId="4" borderId="36" xfId="0" applyFill="1" applyBorder="1"/>
    <xf numFmtId="0" fontId="1" fillId="4" borderId="5" xfId="0" applyFont="1" applyFill="1" applyBorder="1"/>
    <xf numFmtId="0" fontId="5" fillId="4" borderId="15" xfId="0" applyFont="1" applyFill="1" applyBorder="1"/>
    <xf numFmtId="0" fontId="2" fillId="0" borderId="39" xfId="0" applyFont="1" applyBorder="1"/>
    <xf numFmtId="0" fontId="5" fillId="0" borderId="26" xfId="0" applyFont="1" applyBorder="1"/>
    <xf numFmtId="0" fontId="5" fillId="0" borderId="21" xfId="0" applyFont="1" applyBorder="1"/>
    <xf numFmtId="0" fontId="5" fillId="4" borderId="43" xfId="0" applyFont="1" applyFill="1" applyBorder="1"/>
    <xf numFmtId="0" fontId="5" fillId="0" borderId="19" xfId="0" applyFont="1" applyBorder="1"/>
    <xf numFmtId="0" fontId="2" fillId="0" borderId="44" xfId="0" applyFont="1" applyBorder="1"/>
    <xf numFmtId="0" fontId="2" fillId="3" borderId="2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0" fontId="2" fillId="0" borderId="34" xfId="0" applyFont="1" applyBorder="1"/>
    <xf numFmtId="49" fontId="2" fillId="0" borderId="19" xfId="0" applyNumberFormat="1" applyFont="1" applyBorder="1" applyAlignment="1">
      <alignment horizontal="center"/>
    </xf>
    <xf numFmtId="0" fontId="2" fillId="0" borderId="46" xfId="0" applyFont="1" applyBorder="1"/>
    <xf numFmtId="49" fontId="2" fillId="0" borderId="26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2" fillId="0" borderId="35" xfId="0" applyFont="1" applyBorder="1"/>
    <xf numFmtId="0" fontId="2" fillId="3" borderId="48" xfId="0" applyFont="1" applyFill="1" applyBorder="1" applyAlignment="1">
      <alignment horizontal="center"/>
    </xf>
    <xf numFmtId="0" fontId="5" fillId="3" borderId="27" xfId="0" applyFont="1" applyFill="1" applyBorder="1"/>
    <xf numFmtId="0" fontId="1" fillId="3" borderId="21" xfId="0" applyFont="1" applyFill="1" applyBorder="1"/>
    <xf numFmtId="0" fontId="2" fillId="3" borderId="39" xfId="0" applyFont="1" applyFill="1" applyBorder="1"/>
    <xf numFmtId="0" fontId="2" fillId="3" borderId="49" xfId="0" applyFont="1" applyFill="1" applyBorder="1"/>
    <xf numFmtId="0" fontId="5" fillId="3" borderId="19" xfId="0" applyFont="1" applyFill="1" applyBorder="1"/>
    <xf numFmtId="49" fontId="2" fillId="3" borderId="19" xfId="0" applyNumberFormat="1" applyFont="1" applyFill="1" applyBorder="1" applyAlignment="1">
      <alignment horizontal="center"/>
    </xf>
    <xf numFmtId="0" fontId="2" fillId="3" borderId="44" xfId="0" applyFont="1" applyFill="1" applyBorder="1"/>
    <xf numFmtId="0" fontId="2" fillId="3" borderId="24" xfId="0" applyFont="1" applyFill="1" applyBorder="1" applyAlignment="1">
      <alignment horizontal="center"/>
    </xf>
    <xf numFmtId="0" fontId="5" fillId="3" borderId="43" xfId="0" applyFont="1" applyFill="1" applyBorder="1"/>
    <xf numFmtId="0" fontId="5" fillId="3" borderId="5" xfId="0" applyFont="1" applyFill="1" applyBorder="1"/>
    <xf numFmtId="0" fontId="5" fillId="4" borderId="42" xfId="0" applyFont="1" applyFill="1" applyBorder="1"/>
    <xf numFmtId="0" fontId="2" fillId="3" borderId="50" xfId="0" applyFont="1" applyFill="1" applyBorder="1"/>
    <xf numFmtId="0" fontId="5" fillId="3" borderId="20" xfId="0" applyFont="1" applyFill="1" applyBorder="1"/>
    <xf numFmtId="49" fontId="2" fillId="3" borderId="20" xfId="0" applyNumberFormat="1" applyFont="1" applyFill="1" applyBorder="1" applyAlignment="1">
      <alignment horizontal="center"/>
    </xf>
    <xf numFmtId="49" fontId="2" fillId="3" borderId="45" xfId="0" applyNumberFormat="1" applyFont="1" applyFill="1" applyBorder="1" applyAlignment="1">
      <alignment horizontal="center"/>
    </xf>
    <xf numFmtId="0" fontId="2" fillId="3" borderId="29" xfId="0" applyFont="1" applyFill="1" applyBorder="1" applyAlignment="1">
      <alignment horizontal="left"/>
    </xf>
    <xf numFmtId="0" fontId="5" fillId="3" borderId="32" xfId="0" applyFont="1" applyFill="1" applyBorder="1"/>
    <xf numFmtId="0" fontId="2" fillId="3" borderId="39" xfId="0" applyFont="1" applyFill="1" applyBorder="1" applyAlignment="1">
      <alignment horizontal="left"/>
    </xf>
    <xf numFmtId="0" fontId="5" fillId="3" borderId="40" xfId="0" applyFont="1" applyFill="1" applyBorder="1"/>
    <xf numFmtId="0" fontId="2" fillId="3" borderId="44" xfId="0" applyFont="1" applyFill="1" applyBorder="1" applyAlignment="1">
      <alignment horizontal="left"/>
    </xf>
    <xf numFmtId="0" fontId="5" fillId="3" borderId="47" xfId="0" applyFont="1" applyFill="1" applyBorder="1"/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5" borderId="55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2" fillId="0" borderId="5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5" borderId="51" xfId="0" applyFont="1" applyFill="1" applyBorder="1" applyAlignment="1">
      <alignment horizontal="left"/>
    </xf>
    <xf numFmtId="0" fontId="5" fillId="4" borderId="53" xfId="0" applyFont="1" applyFill="1" applyBorder="1"/>
    <xf numFmtId="0" fontId="5" fillId="4" borderId="54" xfId="0" applyFont="1" applyFill="1" applyBorder="1"/>
    <xf numFmtId="0" fontId="5" fillId="0" borderId="7" xfId="0" applyFont="1" applyBorder="1"/>
    <xf numFmtId="0" fontId="2" fillId="3" borderId="60" xfId="0" applyFont="1" applyFill="1" applyBorder="1"/>
    <xf numFmtId="0" fontId="5" fillId="3" borderId="24" xfId="0" applyFont="1" applyFill="1" applyBorder="1"/>
    <xf numFmtId="0" fontId="5" fillId="3" borderId="59" xfId="0" applyFont="1" applyFill="1" applyBorder="1"/>
    <xf numFmtId="0" fontId="2" fillId="3" borderId="58" xfId="0" applyFont="1" applyFill="1" applyBorder="1"/>
    <xf numFmtId="0" fontId="4" fillId="3" borderId="21" xfId="0" applyFont="1" applyFill="1" applyBorder="1"/>
    <xf numFmtId="49" fontId="2" fillId="3" borderId="41" xfId="0" applyNumberFormat="1" applyFont="1" applyFill="1" applyBorder="1" applyAlignment="1">
      <alignment horizontal="center"/>
    </xf>
    <xf numFmtId="49" fontId="2" fillId="3" borderId="24" xfId="0" applyNumberFormat="1" applyFont="1" applyFill="1" applyBorder="1" applyAlignment="1">
      <alignment horizontal="center"/>
    </xf>
    <xf numFmtId="49" fontId="7" fillId="3" borderId="29" xfId="0" applyNumberFormat="1" applyFont="1" applyFill="1" applyBorder="1"/>
    <xf numFmtId="49" fontId="7" fillId="3" borderId="44" xfId="0" applyNumberFormat="1" applyFont="1" applyFill="1" applyBorder="1"/>
    <xf numFmtId="49" fontId="5" fillId="3" borderId="26" xfId="0" applyNumberFormat="1" applyFont="1" applyFill="1" applyBorder="1"/>
    <xf numFmtId="0" fontId="1" fillId="4" borderId="36" xfId="0" applyFont="1" applyFill="1" applyBorder="1"/>
    <xf numFmtId="49" fontId="6" fillId="3" borderId="17" xfId="0" applyNumberFormat="1" applyFont="1" applyFill="1" applyBorder="1" applyAlignment="1">
      <alignment horizontal="center"/>
    </xf>
    <xf numFmtId="49" fontId="6" fillId="3" borderId="26" xfId="0" applyNumberFormat="1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/>
    </xf>
    <xf numFmtId="49" fontId="5" fillId="3" borderId="17" xfId="0" applyNumberFormat="1" applyFont="1" applyFill="1" applyBorder="1"/>
    <xf numFmtId="0" fontId="0" fillId="3" borderId="21" xfId="0" applyFill="1" applyBorder="1"/>
    <xf numFmtId="49" fontId="5" fillId="4" borderId="5" xfId="0" applyNumberFormat="1" applyFont="1" applyFill="1" applyBorder="1"/>
    <xf numFmtId="49" fontId="5" fillId="4" borderId="30" xfId="0" applyNumberFormat="1" applyFont="1" applyFill="1" applyBorder="1"/>
    <xf numFmtId="49" fontId="5" fillId="4" borderId="42" xfId="0" applyNumberFormat="1" applyFont="1" applyFill="1" applyBorder="1"/>
    <xf numFmtId="49" fontId="5" fillId="3" borderId="20" xfId="0" applyNumberFormat="1" applyFont="1" applyFill="1" applyBorder="1"/>
    <xf numFmtId="49" fontId="6" fillId="3" borderId="20" xfId="0" applyNumberFormat="1" applyFont="1" applyFill="1" applyBorder="1" applyAlignment="1">
      <alignment horizontal="center"/>
    </xf>
    <xf numFmtId="49" fontId="7" fillId="3" borderId="49" xfId="0" applyNumberFormat="1" applyFont="1" applyFill="1" applyBorder="1"/>
    <xf numFmtId="0" fontId="5" fillId="6" borderId="18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2" fontId="2" fillId="3" borderId="0" xfId="0" applyNumberFormat="1" applyFont="1" applyFill="1"/>
    <xf numFmtId="0" fontId="2" fillId="3" borderId="24" xfId="0" applyFont="1" applyFill="1" applyBorder="1"/>
    <xf numFmtId="0" fontId="2" fillId="3" borderId="15" xfId="0" applyFont="1" applyFill="1" applyBorder="1" applyAlignment="1">
      <alignment horizontal="center"/>
    </xf>
    <xf numFmtId="2" fontId="2" fillId="3" borderId="8" xfId="0" applyNumberFormat="1" applyFont="1" applyFill="1" applyBorder="1"/>
    <xf numFmtId="0" fontId="2" fillId="3" borderId="25" xfId="0" applyFont="1" applyFill="1" applyBorder="1"/>
    <xf numFmtId="0" fontId="2" fillId="3" borderId="25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5" xfId="0" applyFont="1" applyBorder="1"/>
    <xf numFmtId="0" fontId="5" fillId="6" borderId="49" xfId="0" applyFont="1" applyFill="1" applyBorder="1"/>
    <xf numFmtId="0" fontId="5" fillId="0" borderId="54" xfId="0" applyFont="1" applyBorder="1" applyAlignment="1">
      <alignment horizontal="center"/>
    </xf>
    <xf numFmtId="0" fontId="5" fillId="6" borderId="9" xfId="0" applyFont="1" applyFill="1" applyBorder="1"/>
    <xf numFmtId="0" fontId="5" fillId="8" borderId="52" xfId="0" applyFont="1" applyFill="1" applyBorder="1" applyAlignment="1">
      <alignment horizontal="center"/>
    </xf>
    <xf numFmtId="0" fontId="5" fillId="8" borderId="49" xfId="0" applyFont="1" applyFill="1" applyBorder="1"/>
    <xf numFmtId="0" fontId="8" fillId="10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33" xfId="0" applyFont="1" applyFill="1" applyBorder="1"/>
    <xf numFmtId="0" fontId="2" fillId="3" borderId="0" xfId="0" applyFont="1" applyFill="1"/>
    <xf numFmtId="0" fontId="0" fillId="0" borderId="17" xfId="0" applyBorder="1"/>
    <xf numFmtId="0" fontId="5" fillId="7" borderId="31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2" fillId="8" borderId="0" xfId="0" applyFont="1" applyFill="1"/>
    <xf numFmtId="0" fontId="2" fillId="6" borderId="0" xfId="0" applyFont="1" applyFill="1"/>
    <xf numFmtId="0" fontId="2" fillId="11" borderId="0" xfId="0" applyFont="1" applyFill="1"/>
    <xf numFmtId="0" fontId="5" fillId="6" borderId="17" xfId="0" applyFont="1" applyFill="1" applyBorder="1"/>
    <xf numFmtId="0" fontId="5" fillId="6" borderId="0" xfId="0" applyFont="1" applyFill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1" xfId="0" applyFont="1" applyFill="1" applyBorder="1"/>
    <xf numFmtId="0" fontId="5" fillId="6" borderId="32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0" fillId="6" borderId="0" xfId="0" applyFill="1"/>
    <xf numFmtId="0" fontId="5" fillId="3" borderId="1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left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5" fillId="3" borderId="0" xfId="0" applyFont="1" applyFill="1"/>
    <xf numFmtId="0" fontId="2" fillId="3" borderId="52" xfId="0" applyFont="1" applyFill="1" applyBorder="1"/>
    <xf numFmtId="0" fontId="5" fillId="3" borderId="45" xfId="0" applyFont="1" applyFill="1" applyBorder="1"/>
    <xf numFmtId="0" fontId="2" fillId="3" borderId="41" xfId="0" applyFont="1" applyFill="1" applyBorder="1" applyAlignment="1">
      <alignment horizontal="center"/>
    </xf>
    <xf numFmtId="0" fontId="2" fillId="3" borderId="46" xfId="0" applyFont="1" applyFill="1" applyBorder="1"/>
    <xf numFmtId="49" fontId="2" fillId="3" borderId="0" xfId="0" applyNumberFormat="1" applyFont="1" applyFill="1" applyAlignment="1">
      <alignment horizontal="center"/>
    </xf>
    <xf numFmtId="0" fontId="2" fillId="0" borderId="26" xfId="0" applyFont="1" applyBorder="1" applyAlignment="1">
      <alignment horizontal="center"/>
    </xf>
    <xf numFmtId="0" fontId="5" fillId="0" borderId="24" xfId="0" applyFont="1" applyBorder="1"/>
    <xf numFmtId="0" fontId="0" fillId="4" borderId="5" xfId="0" applyFill="1" applyBorder="1"/>
    <xf numFmtId="0" fontId="0" fillId="3" borderId="17" xfId="0" applyFill="1" applyBorder="1"/>
    <xf numFmtId="0" fontId="0" fillId="3" borderId="18" xfId="0" applyFill="1" applyBorder="1"/>
    <xf numFmtId="49" fontId="0" fillId="3" borderId="8" xfId="0" applyNumberFormat="1" applyFill="1" applyBorder="1"/>
    <xf numFmtId="0" fontId="5" fillId="3" borderId="36" xfId="0" applyFont="1" applyFill="1" applyBorder="1"/>
    <xf numFmtId="49" fontId="2" fillId="3" borderId="6" xfId="0" applyNumberFormat="1" applyFont="1" applyFill="1" applyBorder="1"/>
    <xf numFmtId="0" fontId="5" fillId="3" borderId="14" xfId="0" applyFont="1" applyFill="1" applyBorder="1"/>
    <xf numFmtId="0" fontId="5" fillId="3" borderId="42" xfId="0" applyFont="1" applyFill="1" applyBorder="1"/>
    <xf numFmtId="0" fontId="4" fillId="3" borderId="24" xfId="0" applyFont="1" applyFill="1" applyBorder="1"/>
    <xf numFmtId="0" fontId="4" fillId="3" borderId="17" xfId="0" applyFont="1" applyFill="1" applyBorder="1"/>
    <xf numFmtId="49" fontId="2" fillId="3" borderId="34" xfId="0" applyNumberFormat="1" applyFont="1" applyFill="1" applyBorder="1"/>
    <xf numFmtId="0" fontId="2" fillId="3" borderId="45" xfId="0" applyFont="1" applyFill="1" applyBorder="1" applyAlignment="1">
      <alignment horizontal="center"/>
    </xf>
    <xf numFmtId="0" fontId="2" fillId="3" borderId="45" xfId="0" applyFont="1" applyFill="1" applyBorder="1"/>
    <xf numFmtId="164" fontId="5" fillId="0" borderId="1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5" fillId="8" borderId="61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57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5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6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3" borderId="62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wrapText="1"/>
    </xf>
    <xf numFmtId="0" fontId="5" fillId="3" borderId="54" xfId="0" applyFont="1" applyFill="1" applyBorder="1" applyAlignment="1">
      <alignment horizontal="center"/>
    </xf>
    <xf numFmtId="0" fontId="5" fillId="0" borderId="6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D387-8AE7-4C51-A9DE-F9087146E358}">
  <dimension ref="B1:E28"/>
  <sheetViews>
    <sheetView workbookViewId="0">
      <selection activeCell="I30" sqref="I30"/>
    </sheetView>
  </sheetViews>
  <sheetFormatPr defaultRowHeight="14.5" x14ac:dyDescent="0.35"/>
  <cols>
    <col min="2" max="3" width="14.54296875" customWidth="1"/>
    <col min="4" max="4" width="22.36328125" customWidth="1"/>
    <col min="5" max="5" width="41.36328125" customWidth="1"/>
  </cols>
  <sheetData>
    <row r="1" spans="2:5" ht="23.75" customHeight="1" thickBot="1" x14ac:dyDescent="0.4"/>
    <row r="2" spans="2:5" ht="15" thickBot="1" x14ac:dyDescent="0.4">
      <c r="B2" s="257" t="s">
        <v>15</v>
      </c>
      <c r="C2" s="258"/>
      <c r="D2" s="258"/>
      <c r="E2" s="259"/>
    </row>
    <row r="3" spans="2:5" ht="15" thickBot="1" x14ac:dyDescent="0.4">
      <c r="B3" s="8" t="s">
        <v>0</v>
      </c>
      <c r="C3" s="9" t="s">
        <v>2</v>
      </c>
      <c r="D3" s="4" t="s">
        <v>5</v>
      </c>
      <c r="E3" s="12" t="s">
        <v>1</v>
      </c>
    </row>
    <row r="4" spans="2:5" x14ac:dyDescent="0.35">
      <c r="B4" s="43" t="s">
        <v>3</v>
      </c>
      <c r="C4" s="10" t="s">
        <v>4</v>
      </c>
      <c r="D4" s="38" t="s">
        <v>6</v>
      </c>
      <c r="E4" s="10" t="s">
        <v>13</v>
      </c>
    </row>
    <row r="5" spans="2:5" x14ac:dyDescent="0.35">
      <c r="B5" s="43" t="s">
        <v>7</v>
      </c>
      <c r="C5" s="10" t="s">
        <v>4</v>
      </c>
      <c r="D5" s="38" t="s">
        <v>40</v>
      </c>
      <c r="E5" s="10" t="s">
        <v>13</v>
      </c>
    </row>
    <row r="6" spans="2:5" x14ac:dyDescent="0.35">
      <c r="B6" s="43" t="s">
        <v>8</v>
      </c>
      <c r="C6" s="10" t="s">
        <v>4</v>
      </c>
      <c r="D6" s="38" t="s">
        <v>41</v>
      </c>
      <c r="E6" s="10" t="s">
        <v>13</v>
      </c>
    </row>
    <row r="7" spans="2:5" x14ac:dyDescent="0.35">
      <c r="B7" s="43" t="s">
        <v>9</v>
      </c>
      <c r="C7" s="10" t="s">
        <v>4</v>
      </c>
      <c r="D7" s="38" t="s">
        <v>42</v>
      </c>
      <c r="E7" s="10" t="s">
        <v>13</v>
      </c>
    </row>
    <row r="8" spans="2:5" ht="15" thickBot="1" x14ac:dyDescent="0.4">
      <c r="B8" s="44" t="s">
        <v>10</v>
      </c>
      <c r="C8" s="11" t="s">
        <v>12</v>
      </c>
      <c r="D8" s="39" t="s">
        <v>11</v>
      </c>
      <c r="E8" s="13" t="s">
        <v>14</v>
      </c>
    </row>
    <row r="9" spans="2:5" ht="15" thickBot="1" x14ac:dyDescent="0.4"/>
    <row r="10" spans="2:5" ht="15" thickBot="1" x14ac:dyDescent="0.4">
      <c r="B10" s="257" t="s">
        <v>16</v>
      </c>
      <c r="C10" s="258"/>
      <c r="D10" s="258"/>
      <c r="E10" s="260"/>
    </row>
    <row r="11" spans="2:5" ht="15" thickBot="1" x14ac:dyDescent="0.4">
      <c r="B11" s="7" t="s">
        <v>0</v>
      </c>
      <c r="C11" s="14" t="s">
        <v>2</v>
      </c>
      <c r="D11" s="5" t="s">
        <v>5</v>
      </c>
      <c r="E11" s="6" t="s">
        <v>1</v>
      </c>
    </row>
    <row r="12" spans="2:5" x14ac:dyDescent="0.35">
      <c r="B12" s="43" t="s">
        <v>10</v>
      </c>
      <c r="C12" s="10" t="s">
        <v>17</v>
      </c>
      <c r="D12" s="40" t="s">
        <v>18</v>
      </c>
      <c r="E12" s="2" t="s">
        <v>43</v>
      </c>
    </row>
    <row r="13" spans="2:5" x14ac:dyDescent="0.35">
      <c r="B13" s="43" t="s">
        <v>19</v>
      </c>
      <c r="C13" s="10" t="s">
        <v>17</v>
      </c>
      <c r="D13" s="41" t="s">
        <v>20</v>
      </c>
      <c r="E13" s="2" t="s">
        <v>44</v>
      </c>
    </row>
    <row r="14" spans="2:5" x14ac:dyDescent="0.35">
      <c r="B14" s="43" t="s">
        <v>21</v>
      </c>
      <c r="C14" s="10" t="s">
        <v>17</v>
      </c>
      <c r="D14" s="41" t="s">
        <v>22</v>
      </c>
      <c r="E14" s="2" t="s">
        <v>45</v>
      </c>
    </row>
    <row r="15" spans="2:5" x14ac:dyDescent="0.35">
      <c r="B15" s="43" t="s">
        <v>24</v>
      </c>
      <c r="C15" s="10" t="s">
        <v>17</v>
      </c>
      <c r="D15" s="41" t="s">
        <v>25</v>
      </c>
      <c r="E15" s="2" t="s">
        <v>47</v>
      </c>
    </row>
    <row r="16" spans="2:5" x14ac:dyDescent="0.35">
      <c r="B16" s="43" t="s">
        <v>26</v>
      </c>
      <c r="C16" s="10" t="s">
        <v>17</v>
      </c>
      <c r="D16" s="41" t="s">
        <v>27</v>
      </c>
      <c r="E16" s="2" t="s">
        <v>46</v>
      </c>
    </row>
    <row r="17" spans="2:5" x14ac:dyDescent="0.35">
      <c r="B17" s="43" t="s">
        <v>29</v>
      </c>
      <c r="C17" s="10" t="s">
        <v>17</v>
      </c>
      <c r="D17" s="41" t="s">
        <v>28</v>
      </c>
      <c r="E17" s="2" t="s">
        <v>46</v>
      </c>
    </row>
    <row r="18" spans="2:5" x14ac:dyDescent="0.35">
      <c r="B18" s="43" t="s">
        <v>33</v>
      </c>
      <c r="C18" s="10" t="s">
        <v>17</v>
      </c>
      <c r="D18" s="41" t="s">
        <v>37</v>
      </c>
      <c r="E18" s="2" t="s">
        <v>48</v>
      </c>
    </row>
    <row r="19" spans="2:5" x14ac:dyDescent="0.35">
      <c r="B19" s="43" t="s">
        <v>34</v>
      </c>
      <c r="C19" s="10" t="s">
        <v>17</v>
      </c>
      <c r="D19" s="41" t="s">
        <v>23</v>
      </c>
      <c r="E19" s="2" t="s">
        <v>49</v>
      </c>
    </row>
    <row r="20" spans="2:5" x14ac:dyDescent="0.35">
      <c r="B20" s="43" t="s">
        <v>30</v>
      </c>
      <c r="C20" s="10" t="s">
        <v>36</v>
      </c>
      <c r="D20" s="41" t="s">
        <v>31</v>
      </c>
      <c r="E20" s="2" t="s">
        <v>50</v>
      </c>
    </row>
    <row r="21" spans="2:5" x14ac:dyDescent="0.35">
      <c r="B21" s="43" t="s">
        <v>35</v>
      </c>
      <c r="C21" s="10" t="s">
        <v>36</v>
      </c>
      <c r="D21" s="41" t="s">
        <v>32</v>
      </c>
      <c r="E21" s="2" t="s">
        <v>50</v>
      </c>
    </row>
    <row r="22" spans="2:5" ht="15" thickBot="1" x14ac:dyDescent="0.4">
      <c r="B22" s="44" t="s">
        <v>402</v>
      </c>
      <c r="C22" s="11" t="s">
        <v>38</v>
      </c>
      <c r="D22" s="42" t="s">
        <v>39</v>
      </c>
      <c r="E22" s="3" t="s">
        <v>51</v>
      </c>
    </row>
    <row r="23" spans="2:5" ht="15" thickBot="1" x14ac:dyDescent="0.4"/>
    <row r="24" spans="2:5" ht="15" thickBot="1" x14ac:dyDescent="0.4">
      <c r="B24" s="262" t="s">
        <v>471</v>
      </c>
      <c r="C24" s="263"/>
      <c r="D24" s="263"/>
      <c r="E24" s="264"/>
    </row>
    <row r="26" spans="2:5" x14ac:dyDescent="0.35">
      <c r="B26" s="261" t="s">
        <v>450</v>
      </c>
      <c r="C26" s="261"/>
      <c r="D26" s="261"/>
      <c r="E26" s="261"/>
    </row>
    <row r="27" spans="2:5" x14ac:dyDescent="0.35">
      <c r="B27" s="261"/>
      <c r="C27" s="261"/>
      <c r="D27" s="261"/>
      <c r="E27" s="261"/>
    </row>
    <row r="28" spans="2:5" x14ac:dyDescent="0.35">
      <c r="B28" s="261"/>
      <c r="C28" s="261"/>
      <c r="D28" s="261"/>
      <c r="E28" s="261"/>
    </row>
  </sheetData>
  <mergeCells count="4">
    <mergeCell ref="B2:E2"/>
    <mergeCell ref="B10:E10"/>
    <mergeCell ref="B26:E28"/>
    <mergeCell ref="B24:E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D358-EAB6-496B-8D0C-C58FEF9CFE6C}">
  <dimension ref="B1:K73"/>
  <sheetViews>
    <sheetView topLeftCell="A43" workbookViewId="0">
      <selection activeCell="L41" sqref="L41"/>
    </sheetView>
  </sheetViews>
  <sheetFormatPr defaultRowHeight="14.5" x14ac:dyDescent="0.35"/>
  <cols>
    <col min="2" max="2" width="11.453125" customWidth="1"/>
    <col min="3" max="3" width="25.36328125" customWidth="1"/>
    <col min="4" max="4" width="6.54296875" customWidth="1"/>
    <col min="5" max="5" width="7.6328125" customWidth="1"/>
    <col min="6" max="6" width="33.90625" customWidth="1"/>
  </cols>
  <sheetData>
    <row r="1" spans="2:11" ht="15" thickBot="1" x14ac:dyDescent="0.4"/>
    <row r="2" spans="2:11" ht="15" thickBot="1" x14ac:dyDescent="0.4">
      <c r="B2" s="265" t="s">
        <v>52</v>
      </c>
      <c r="C2" s="266"/>
      <c r="D2" s="266"/>
      <c r="E2" s="266"/>
      <c r="F2" s="267"/>
    </row>
    <row r="3" spans="2:11" ht="15" thickBot="1" x14ac:dyDescent="0.4">
      <c r="B3" s="32" t="s">
        <v>53</v>
      </c>
      <c r="C3" s="268" t="s">
        <v>10</v>
      </c>
      <c r="D3" s="268"/>
      <c r="E3" s="268"/>
      <c r="F3" s="269"/>
    </row>
    <row r="4" spans="2:11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35" t="s">
        <v>58</v>
      </c>
    </row>
    <row r="5" spans="2:11" x14ac:dyDescent="0.35">
      <c r="B5" s="72" t="s">
        <v>485</v>
      </c>
      <c r="C5" s="270" t="s">
        <v>484</v>
      </c>
      <c r="D5" s="270"/>
      <c r="E5" s="270"/>
      <c r="F5" s="271"/>
    </row>
    <row r="6" spans="2:11" x14ac:dyDescent="0.35">
      <c r="B6" s="29"/>
      <c r="C6" s="272"/>
      <c r="D6" s="272"/>
      <c r="E6" s="272"/>
      <c r="F6" s="273"/>
    </row>
    <row r="7" spans="2:11" x14ac:dyDescent="0.35">
      <c r="B7" s="79" t="s">
        <v>168</v>
      </c>
      <c r="C7" s="97" t="s">
        <v>60</v>
      </c>
      <c r="D7" s="83" t="s">
        <v>61</v>
      </c>
      <c r="E7" s="98" t="s">
        <v>459</v>
      </c>
      <c r="F7" s="99" t="s">
        <v>458</v>
      </c>
    </row>
    <row r="8" spans="2:11" x14ac:dyDescent="0.35">
      <c r="B8" s="45" t="s">
        <v>170</v>
      </c>
      <c r="C8" s="36" t="s">
        <v>70</v>
      </c>
      <c r="D8" s="21" t="s">
        <v>61</v>
      </c>
      <c r="E8" s="47" t="s">
        <v>64</v>
      </c>
      <c r="F8" s="22" t="s">
        <v>65</v>
      </c>
    </row>
    <row r="9" spans="2:11" x14ac:dyDescent="0.35">
      <c r="B9" s="45"/>
      <c r="C9" s="36"/>
      <c r="D9" s="21"/>
      <c r="E9" s="47" t="s">
        <v>66</v>
      </c>
      <c r="F9" s="23" t="s">
        <v>67</v>
      </c>
    </row>
    <row r="10" spans="2:11" x14ac:dyDescent="0.35">
      <c r="B10" s="45"/>
      <c r="C10" s="36"/>
      <c r="D10" s="21"/>
      <c r="E10" s="47" t="s">
        <v>68</v>
      </c>
      <c r="F10" s="23" t="s">
        <v>69</v>
      </c>
      <c r="K10" t="s">
        <v>475</v>
      </c>
    </row>
    <row r="11" spans="2:11" x14ac:dyDescent="0.35">
      <c r="B11" s="45"/>
      <c r="C11" s="36"/>
      <c r="D11" s="21"/>
      <c r="E11" s="47" t="s">
        <v>71</v>
      </c>
      <c r="F11" s="23" t="s">
        <v>74</v>
      </c>
    </row>
    <row r="12" spans="2:11" x14ac:dyDescent="0.35">
      <c r="B12" s="53"/>
      <c r="C12" s="54"/>
      <c r="D12" s="21"/>
      <c r="E12" s="48" t="s">
        <v>73</v>
      </c>
      <c r="F12" s="23" t="s">
        <v>72</v>
      </c>
    </row>
    <row r="13" spans="2:11" x14ac:dyDescent="0.35">
      <c r="B13" s="45" t="s">
        <v>476</v>
      </c>
      <c r="C13" s="36" t="s">
        <v>451</v>
      </c>
      <c r="D13" s="24" t="s">
        <v>61</v>
      </c>
      <c r="E13" s="47" t="s">
        <v>216</v>
      </c>
      <c r="F13" s="52" t="s">
        <v>452</v>
      </c>
    </row>
    <row r="14" spans="2:11" x14ac:dyDescent="0.35">
      <c r="B14" s="45"/>
      <c r="C14" s="36"/>
      <c r="D14" s="21"/>
      <c r="E14" s="47"/>
      <c r="F14" s="23" t="s">
        <v>453</v>
      </c>
    </row>
    <row r="15" spans="2:11" x14ac:dyDescent="0.35">
      <c r="B15" s="46" t="s">
        <v>477</v>
      </c>
      <c r="C15" s="37" t="s">
        <v>76</v>
      </c>
      <c r="D15" s="24" t="s">
        <v>56</v>
      </c>
      <c r="E15" s="49" t="s">
        <v>77</v>
      </c>
      <c r="F15" s="210" t="s">
        <v>445</v>
      </c>
    </row>
    <row r="16" spans="2:11" x14ac:dyDescent="0.35">
      <c r="B16" s="45"/>
      <c r="C16" s="36"/>
      <c r="D16" s="21"/>
      <c r="E16" s="47"/>
      <c r="F16" s="56" t="s">
        <v>446</v>
      </c>
    </row>
    <row r="17" spans="2:6" x14ac:dyDescent="0.35">
      <c r="B17" s="45"/>
      <c r="C17" s="36"/>
      <c r="D17" s="21"/>
      <c r="E17" s="47" t="s">
        <v>78</v>
      </c>
      <c r="F17" s="56" t="s">
        <v>445</v>
      </c>
    </row>
    <row r="18" spans="2:6" x14ac:dyDescent="0.35">
      <c r="B18" s="45"/>
      <c r="C18" s="36"/>
      <c r="D18" s="21"/>
      <c r="E18" s="47"/>
      <c r="F18" s="56" t="s">
        <v>447</v>
      </c>
    </row>
    <row r="19" spans="2:6" x14ac:dyDescent="0.35">
      <c r="B19" s="45"/>
      <c r="C19" s="36"/>
      <c r="D19" s="25"/>
      <c r="E19" s="47" t="s">
        <v>79</v>
      </c>
      <c r="F19" s="23" t="s">
        <v>80</v>
      </c>
    </row>
    <row r="20" spans="2:6" x14ac:dyDescent="0.35">
      <c r="B20" s="46" t="s">
        <v>478</v>
      </c>
      <c r="C20" s="37" t="s">
        <v>81</v>
      </c>
      <c r="D20" s="21" t="s">
        <v>56</v>
      </c>
      <c r="E20" s="49" t="s">
        <v>77</v>
      </c>
      <c r="F20" s="210" t="s">
        <v>445</v>
      </c>
    </row>
    <row r="21" spans="2:6" x14ac:dyDescent="0.35">
      <c r="B21" s="45"/>
      <c r="C21" s="36"/>
      <c r="D21" s="21"/>
      <c r="E21" s="47"/>
      <c r="F21" s="56" t="s">
        <v>446</v>
      </c>
    </row>
    <row r="22" spans="2:6" x14ac:dyDescent="0.35">
      <c r="B22" s="45"/>
      <c r="C22" s="36"/>
      <c r="D22" s="21"/>
      <c r="E22" s="47" t="s">
        <v>78</v>
      </c>
      <c r="F22" s="56" t="s">
        <v>445</v>
      </c>
    </row>
    <row r="23" spans="2:6" x14ac:dyDescent="0.35">
      <c r="B23" s="45"/>
      <c r="C23" s="36"/>
      <c r="D23" s="21"/>
      <c r="E23" s="47"/>
      <c r="F23" s="56" t="s">
        <v>447</v>
      </c>
    </row>
    <row r="24" spans="2:6" x14ac:dyDescent="0.35">
      <c r="B24" s="45"/>
      <c r="C24" s="36"/>
      <c r="D24" s="25"/>
      <c r="E24" s="48" t="s">
        <v>79</v>
      </c>
      <c r="F24" s="51" t="s">
        <v>80</v>
      </c>
    </row>
    <row r="25" spans="2:6" x14ac:dyDescent="0.35">
      <c r="B25" s="46" t="s">
        <v>479</v>
      </c>
      <c r="C25" s="37" t="s">
        <v>82</v>
      </c>
      <c r="D25" s="21" t="s">
        <v>56</v>
      </c>
      <c r="E25" s="47" t="s">
        <v>77</v>
      </c>
      <c r="F25" s="56" t="s">
        <v>445</v>
      </c>
    </row>
    <row r="26" spans="2:6" x14ac:dyDescent="0.35">
      <c r="B26" s="45"/>
      <c r="C26" s="36"/>
      <c r="D26" s="21"/>
      <c r="E26" s="47"/>
      <c r="F26" s="56" t="s">
        <v>446</v>
      </c>
    </row>
    <row r="27" spans="2:6" x14ac:dyDescent="0.35">
      <c r="B27" s="45"/>
      <c r="C27" s="36"/>
      <c r="D27" s="21"/>
      <c r="E27" s="47" t="s">
        <v>78</v>
      </c>
      <c r="F27" s="56" t="s">
        <v>445</v>
      </c>
    </row>
    <row r="28" spans="2:6" x14ac:dyDescent="0.35">
      <c r="B28" s="45"/>
      <c r="C28" s="36"/>
      <c r="D28" s="21"/>
      <c r="E28" s="47"/>
      <c r="F28" s="56" t="s">
        <v>447</v>
      </c>
    </row>
    <row r="29" spans="2:6" x14ac:dyDescent="0.35">
      <c r="B29" s="45"/>
      <c r="C29" s="36"/>
      <c r="D29" s="21"/>
      <c r="E29" s="47" t="s">
        <v>79</v>
      </c>
      <c r="F29" s="23" t="s">
        <v>80</v>
      </c>
    </row>
    <row r="30" spans="2:6" x14ac:dyDescent="0.35">
      <c r="B30" s="46" t="s">
        <v>480</v>
      </c>
      <c r="C30" s="37" t="s">
        <v>83</v>
      </c>
      <c r="D30" s="24" t="s">
        <v>56</v>
      </c>
      <c r="E30" s="49" t="s">
        <v>77</v>
      </c>
      <c r="F30" s="210" t="s">
        <v>445</v>
      </c>
    </row>
    <row r="31" spans="2:6" x14ac:dyDescent="0.35">
      <c r="B31" s="45"/>
      <c r="C31" s="36"/>
      <c r="D31" s="21"/>
      <c r="E31" s="47"/>
      <c r="F31" s="56" t="s">
        <v>446</v>
      </c>
    </row>
    <row r="32" spans="2:6" x14ac:dyDescent="0.35">
      <c r="B32" s="45"/>
      <c r="C32" s="36"/>
      <c r="D32" s="21"/>
      <c r="E32" s="47" t="s">
        <v>78</v>
      </c>
      <c r="F32" s="56" t="s">
        <v>445</v>
      </c>
    </row>
    <row r="33" spans="2:6" x14ac:dyDescent="0.35">
      <c r="B33" s="45"/>
      <c r="C33" s="36"/>
      <c r="D33" s="21"/>
      <c r="E33" s="47"/>
      <c r="F33" s="56" t="s">
        <v>447</v>
      </c>
    </row>
    <row r="34" spans="2:6" x14ac:dyDescent="0.35">
      <c r="B34" s="53"/>
      <c r="C34" s="54"/>
      <c r="D34" s="21"/>
      <c r="E34" s="47" t="s">
        <v>79</v>
      </c>
      <c r="F34" s="51" t="s">
        <v>80</v>
      </c>
    </row>
    <row r="35" spans="2:6" x14ac:dyDescent="0.35">
      <c r="B35" s="45" t="s">
        <v>481</v>
      </c>
      <c r="C35" s="36" t="s">
        <v>88</v>
      </c>
      <c r="D35" s="24" t="s">
        <v>56</v>
      </c>
      <c r="E35" s="49" t="s">
        <v>448</v>
      </c>
      <c r="F35" s="23" t="s">
        <v>640</v>
      </c>
    </row>
    <row r="36" spans="2:6" x14ac:dyDescent="0.35">
      <c r="B36" s="45"/>
      <c r="C36" s="232"/>
      <c r="D36" s="21"/>
      <c r="E36" s="47"/>
      <c r="F36" s="104" t="s">
        <v>641</v>
      </c>
    </row>
    <row r="37" spans="2:6" x14ac:dyDescent="0.35">
      <c r="B37" s="45"/>
      <c r="C37" s="231"/>
      <c r="D37" s="21"/>
      <c r="E37" s="47" t="s">
        <v>636</v>
      </c>
      <c r="F37" s="23" t="s">
        <v>637</v>
      </c>
    </row>
    <row r="38" spans="2:6" x14ac:dyDescent="0.35">
      <c r="B38" s="45"/>
      <c r="C38" s="231"/>
      <c r="D38" s="21"/>
      <c r="E38" s="47"/>
      <c r="F38" s="23" t="s">
        <v>638</v>
      </c>
    </row>
    <row r="39" spans="2:6" x14ac:dyDescent="0.35">
      <c r="B39" s="45"/>
      <c r="C39" s="231"/>
      <c r="D39" s="21"/>
      <c r="E39" s="47"/>
      <c r="F39" s="23" t="s">
        <v>639</v>
      </c>
    </row>
    <row r="40" spans="2:6" x14ac:dyDescent="0.35">
      <c r="B40" s="45"/>
      <c r="C40" s="231"/>
      <c r="D40" s="21"/>
      <c r="E40" s="47" t="s">
        <v>619</v>
      </c>
      <c r="F40" s="23" t="s">
        <v>633</v>
      </c>
    </row>
    <row r="41" spans="2:6" x14ac:dyDescent="0.35">
      <c r="B41" s="45"/>
      <c r="C41" s="231"/>
      <c r="D41" s="21"/>
      <c r="E41" s="47"/>
      <c r="F41" s="23" t="s">
        <v>634</v>
      </c>
    </row>
    <row r="42" spans="2:6" x14ac:dyDescent="0.35">
      <c r="B42" s="45"/>
      <c r="C42" s="231"/>
      <c r="D42" s="21"/>
      <c r="E42" s="47"/>
      <c r="F42" s="23" t="s">
        <v>635</v>
      </c>
    </row>
    <row r="43" spans="2:6" x14ac:dyDescent="0.35">
      <c r="B43" s="45"/>
      <c r="C43" s="231"/>
      <c r="D43" s="21"/>
      <c r="E43" s="47" t="s">
        <v>90</v>
      </c>
      <c r="F43" s="23" t="s">
        <v>492</v>
      </c>
    </row>
    <row r="44" spans="2:6" x14ac:dyDescent="0.35">
      <c r="B44" s="53"/>
      <c r="C44" s="138"/>
      <c r="D44" s="21"/>
      <c r="E44" s="47"/>
      <c r="F44" s="51" t="s">
        <v>493</v>
      </c>
    </row>
    <row r="45" spans="2:6" x14ac:dyDescent="0.35">
      <c r="B45" s="45" t="s">
        <v>482</v>
      </c>
      <c r="C45" s="135" t="s">
        <v>335</v>
      </c>
      <c r="D45" s="24" t="s">
        <v>56</v>
      </c>
      <c r="E45" s="49" t="s">
        <v>246</v>
      </c>
      <c r="F45" s="23" t="s">
        <v>336</v>
      </c>
    </row>
    <row r="46" spans="2:6" x14ac:dyDescent="0.35">
      <c r="B46" s="45"/>
      <c r="C46" s="36"/>
      <c r="D46" s="21"/>
      <c r="E46" s="47"/>
      <c r="F46" s="23" t="s">
        <v>337</v>
      </c>
    </row>
    <row r="47" spans="2:6" x14ac:dyDescent="0.35">
      <c r="B47" s="45"/>
      <c r="C47" s="36"/>
      <c r="D47" s="21"/>
      <c r="E47" s="47" t="s">
        <v>209</v>
      </c>
      <c r="F47" s="23" t="s">
        <v>338</v>
      </c>
    </row>
    <row r="48" spans="2:6" x14ac:dyDescent="0.35">
      <c r="B48" s="45"/>
      <c r="C48" s="135"/>
      <c r="D48" s="21"/>
      <c r="E48" s="47"/>
      <c r="F48" s="23" t="s">
        <v>339</v>
      </c>
    </row>
    <row r="49" spans="2:6" x14ac:dyDescent="0.35">
      <c r="B49" s="45"/>
      <c r="C49" s="135"/>
      <c r="D49" s="21"/>
      <c r="E49" s="47" t="s">
        <v>212</v>
      </c>
      <c r="F49" s="23" t="s">
        <v>340</v>
      </c>
    </row>
    <row r="50" spans="2:6" x14ac:dyDescent="0.35">
      <c r="B50" s="45"/>
      <c r="C50" s="135"/>
      <c r="D50" s="21"/>
      <c r="E50" s="47"/>
      <c r="F50" s="23" t="s">
        <v>341</v>
      </c>
    </row>
    <row r="51" spans="2:6" x14ac:dyDescent="0.35">
      <c r="B51" s="45"/>
      <c r="C51" s="135"/>
      <c r="D51" s="21"/>
      <c r="E51" s="47" t="s">
        <v>90</v>
      </c>
      <c r="F51" s="23" t="s">
        <v>342</v>
      </c>
    </row>
    <row r="52" spans="2:6" x14ac:dyDescent="0.35">
      <c r="B52" s="53"/>
      <c r="C52" s="111"/>
      <c r="D52" s="25"/>
      <c r="E52" s="48"/>
      <c r="F52" s="95" t="s">
        <v>343</v>
      </c>
    </row>
    <row r="53" spans="2:6" x14ac:dyDescent="0.35">
      <c r="B53" s="45" t="s">
        <v>483</v>
      </c>
      <c r="C53" s="135" t="s">
        <v>344</v>
      </c>
      <c r="D53" s="24" t="s">
        <v>56</v>
      </c>
      <c r="E53" s="139" t="s">
        <v>246</v>
      </c>
      <c r="F53" s="23" t="s">
        <v>336</v>
      </c>
    </row>
    <row r="54" spans="2:6" x14ac:dyDescent="0.35">
      <c r="B54" s="45"/>
      <c r="C54" s="135"/>
      <c r="D54" s="21"/>
      <c r="E54" s="140"/>
      <c r="F54" s="23" t="s">
        <v>337</v>
      </c>
    </row>
    <row r="55" spans="2:6" x14ac:dyDescent="0.35">
      <c r="B55" s="45"/>
      <c r="C55" s="69"/>
      <c r="D55" s="21"/>
      <c r="E55" s="140" t="s">
        <v>209</v>
      </c>
      <c r="F55" s="23" t="s">
        <v>338</v>
      </c>
    </row>
    <row r="56" spans="2:6" x14ac:dyDescent="0.35">
      <c r="B56" s="45"/>
      <c r="C56" s="69"/>
      <c r="D56" s="21"/>
      <c r="E56" s="140"/>
      <c r="F56" s="23" t="s">
        <v>339</v>
      </c>
    </row>
    <row r="57" spans="2:6" x14ac:dyDescent="0.35">
      <c r="B57" s="45"/>
      <c r="C57" s="69"/>
      <c r="D57" s="21"/>
      <c r="E57" s="140" t="s">
        <v>212</v>
      </c>
      <c r="F57" s="23" t="s">
        <v>340</v>
      </c>
    </row>
    <row r="58" spans="2:6" x14ac:dyDescent="0.35">
      <c r="B58" s="45"/>
      <c r="C58" s="69"/>
      <c r="D58" s="21"/>
      <c r="E58" s="140"/>
      <c r="F58" s="23" t="s">
        <v>341</v>
      </c>
    </row>
    <row r="59" spans="2:6" x14ac:dyDescent="0.35">
      <c r="B59" s="45"/>
      <c r="C59" s="69"/>
      <c r="D59" s="21"/>
      <c r="E59" s="140" t="s">
        <v>90</v>
      </c>
      <c r="F59" s="23" t="s">
        <v>342</v>
      </c>
    </row>
    <row r="60" spans="2:6" x14ac:dyDescent="0.35">
      <c r="B60" s="53"/>
      <c r="C60" s="149"/>
      <c r="D60" s="21"/>
      <c r="E60" s="140"/>
      <c r="F60" s="23" t="s">
        <v>343</v>
      </c>
    </row>
    <row r="61" spans="2:6" x14ac:dyDescent="0.35">
      <c r="B61" s="45" t="s">
        <v>395</v>
      </c>
      <c r="C61" s="36" t="s">
        <v>345</v>
      </c>
      <c r="D61" s="83" t="s">
        <v>61</v>
      </c>
      <c r="E61" s="98" t="s">
        <v>62</v>
      </c>
      <c r="F61" s="99" t="s">
        <v>347</v>
      </c>
    </row>
    <row r="62" spans="2:6" x14ac:dyDescent="0.35">
      <c r="B62" s="79" t="s">
        <v>396</v>
      </c>
      <c r="C62" s="97" t="s">
        <v>346</v>
      </c>
      <c r="D62" s="24" t="s">
        <v>61</v>
      </c>
      <c r="E62" s="98" t="s">
        <v>62</v>
      </c>
      <c r="F62" s="22" t="s">
        <v>348</v>
      </c>
    </row>
    <row r="63" spans="2:6" x14ac:dyDescent="0.35">
      <c r="B63" s="150" t="s">
        <v>349</v>
      </c>
      <c r="C63" s="148" t="s">
        <v>350</v>
      </c>
      <c r="D63" s="147" t="s">
        <v>244</v>
      </c>
      <c r="E63" s="147" t="s">
        <v>216</v>
      </c>
      <c r="F63" s="142"/>
    </row>
    <row r="64" spans="2:6" x14ac:dyDescent="0.35">
      <c r="B64" s="151" t="s">
        <v>361</v>
      </c>
      <c r="C64" s="143" t="s">
        <v>351</v>
      </c>
      <c r="D64" s="146" t="s">
        <v>244</v>
      </c>
      <c r="E64" s="146" t="s">
        <v>62</v>
      </c>
      <c r="F64" s="142"/>
    </row>
    <row r="65" spans="2:6" x14ac:dyDescent="0.35">
      <c r="B65" s="151" t="s">
        <v>362</v>
      </c>
      <c r="C65" s="143" t="s">
        <v>352</v>
      </c>
      <c r="D65" s="146" t="s">
        <v>244</v>
      </c>
      <c r="E65" s="146" t="s">
        <v>187</v>
      </c>
      <c r="F65" s="141"/>
    </row>
    <row r="66" spans="2:6" x14ac:dyDescent="0.35">
      <c r="B66" s="151" t="s">
        <v>363</v>
      </c>
      <c r="C66" s="143" t="s">
        <v>353</v>
      </c>
      <c r="D66" s="146" t="s">
        <v>244</v>
      </c>
      <c r="E66" s="146" t="s">
        <v>187</v>
      </c>
      <c r="F66" s="141"/>
    </row>
    <row r="67" spans="2:6" x14ac:dyDescent="0.35">
      <c r="B67" s="151" t="s">
        <v>364</v>
      </c>
      <c r="C67" s="143" t="s">
        <v>354</v>
      </c>
      <c r="D67" s="146" t="s">
        <v>61</v>
      </c>
      <c r="E67" s="146" t="s">
        <v>62</v>
      </c>
      <c r="F67" s="141"/>
    </row>
    <row r="68" spans="2:6" x14ac:dyDescent="0.35">
      <c r="B68" s="151" t="s">
        <v>365</v>
      </c>
      <c r="C68" s="143" t="s">
        <v>355</v>
      </c>
      <c r="D68" s="146" t="s">
        <v>61</v>
      </c>
      <c r="E68" s="146" t="s">
        <v>246</v>
      </c>
      <c r="F68" s="141"/>
    </row>
    <row r="69" spans="2:6" x14ac:dyDescent="0.35">
      <c r="B69" s="151" t="s">
        <v>172</v>
      </c>
      <c r="C69" s="143" t="s">
        <v>356</v>
      </c>
      <c r="D69" s="147" t="s">
        <v>244</v>
      </c>
      <c r="E69" s="146" t="s">
        <v>216</v>
      </c>
      <c r="F69" s="141"/>
    </row>
    <row r="70" spans="2:6" x14ac:dyDescent="0.35">
      <c r="B70" s="151" t="s">
        <v>366</v>
      </c>
      <c r="C70" s="143" t="s">
        <v>357</v>
      </c>
      <c r="D70" s="145" t="s">
        <v>244</v>
      </c>
      <c r="E70" s="146" t="s">
        <v>62</v>
      </c>
      <c r="F70" s="141"/>
    </row>
    <row r="71" spans="2:6" x14ac:dyDescent="0.35">
      <c r="B71" s="151" t="s">
        <v>367</v>
      </c>
      <c r="C71" s="143" t="s">
        <v>358</v>
      </c>
      <c r="D71" s="147" t="s">
        <v>244</v>
      </c>
      <c r="E71" s="146" t="s">
        <v>187</v>
      </c>
      <c r="F71" s="141"/>
    </row>
    <row r="72" spans="2:6" x14ac:dyDescent="0.35">
      <c r="B72" s="151" t="s">
        <v>368</v>
      </c>
      <c r="C72" s="143" t="s">
        <v>359</v>
      </c>
      <c r="D72" s="147" t="s">
        <v>244</v>
      </c>
      <c r="E72" s="146" t="s">
        <v>187</v>
      </c>
      <c r="F72" s="141"/>
    </row>
    <row r="73" spans="2:6" ht="15" thickBot="1" x14ac:dyDescent="0.4">
      <c r="B73" s="152" t="s">
        <v>369</v>
      </c>
      <c r="C73" s="153" t="s">
        <v>360</v>
      </c>
      <c r="D73" s="154" t="s">
        <v>61</v>
      </c>
      <c r="E73" s="154" t="s">
        <v>62</v>
      </c>
      <c r="F73" s="155"/>
    </row>
  </sheetData>
  <mergeCells count="3">
    <mergeCell ref="B2:F2"/>
    <mergeCell ref="C3:F3"/>
    <mergeCell ref="C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50E7-E6CA-44D6-83EB-295EEA9379E5}">
  <dimension ref="B1:F71"/>
  <sheetViews>
    <sheetView topLeftCell="A31" workbookViewId="0">
      <selection activeCell="I21" sqref="I21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28.54296875" customWidth="1"/>
  </cols>
  <sheetData>
    <row r="1" spans="2:6" ht="15" thickBot="1" x14ac:dyDescent="0.4"/>
    <row r="2" spans="2:6" ht="15" thickBot="1" x14ac:dyDescent="0.4">
      <c r="B2" s="265" t="s">
        <v>91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19</v>
      </c>
      <c r="D3" s="268"/>
      <c r="E3" s="268"/>
      <c r="F3" s="269"/>
    </row>
    <row r="4" spans="2:6" ht="15" thickBot="1" x14ac:dyDescent="0.4">
      <c r="B4" s="55" t="s">
        <v>54</v>
      </c>
      <c r="C4" s="33" t="s">
        <v>55</v>
      </c>
      <c r="D4" s="34" t="s">
        <v>56</v>
      </c>
      <c r="E4" s="34" t="s">
        <v>57</v>
      </c>
      <c r="F4" s="57" t="s">
        <v>58</v>
      </c>
    </row>
    <row r="5" spans="2:6" x14ac:dyDescent="0.35">
      <c r="B5" s="79" t="s">
        <v>59</v>
      </c>
      <c r="C5" s="54" t="s">
        <v>110</v>
      </c>
      <c r="D5" s="25" t="s">
        <v>56</v>
      </c>
      <c r="E5" s="48" t="s">
        <v>105</v>
      </c>
      <c r="F5" s="51" t="s">
        <v>194</v>
      </c>
    </row>
    <row r="6" spans="2:6" x14ac:dyDescent="0.35">
      <c r="B6" s="79" t="s">
        <v>124</v>
      </c>
      <c r="C6" s="97" t="s">
        <v>111</v>
      </c>
      <c r="D6" s="83" t="s">
        <v>56</v>
      </c>
      <c r="E6" s="98" t="s">
        <v>105</v>
      </c>
      <c r="F6" s="99" t="s">
        <v>195</v>
      </c>
    </row>
    <row r="7" spans="2:6" x14ac:dyDescent="0.35">
      <c r="B7" s="46" t="s">
        <v>125</v>
      </c>
      <c r="C7" s="37" t="s">
        <v>112</v>
      </c>
      <c r="D7" s="24" t="s">
        <v>56</v>
      </c>
      <c r="E7" s="49" t="s">
        <v>90</v>
      </c>
      <c r="F7" s="52" t="s">
        <v>198</v>
      </c>
    </row>
    <row r="8" spans="2:6" x14ac:dyDescent="0.35">
      <c r="B8" s="53"/>
      <c r="C8" s="54"/>
      <c r="D8" s="25"/>
      <c r="E8" s="48"/>
      <c r="F8" s="51" t="s">
        <v>199</v>
      </c>
    </row>
    <row r="9" spans="2:6" x14ac:dyDescent="0.35">
      <c r="B9" s="46" t="s">
        <v>126</v>
      </c>
      <c r="C9" s="37" t="s">
        <v>113</v>
      </c>
      <c r="D9" s="24"/>
      <c r="E9" s="49" t="s">
        <v>90</v>
      </c>
      <c r="F9" s="52" t="s">
        <v>196</v>
      </c>
    </row>
    <row r="10" spans="2:6" x14ac:dyDescent="0.35">
      <c r="B10" s="53"/>
      <c r="C10" s="54"/>
      <c r="D10" s="25"/>
      <c r="E10" s="48"/>
      <c r="F10" s="51" t="s">
        <v>197</v>
      </c>
    </row>
    <row r="11" spans="2:6" x14ac:dyDescent="0.35">
      <c r="B11" s="79" t="s">
        <v>127</v>
      </c>
      <c r="C11" s="97" t="s">
        <v>114</v>
      </c>
      <c r="D11" s="83" t="s">
        <v>56</v>
      </c>
      <c r="E11" s="98" t="s">
        <v>200</v>
      </c>
      <c r="F11" s="99" t="s">
        <v>201</v>
      </c>
    </row>
    <row r="12" spans="2:6" x14ac:dyDescent="0.35">
      <c r="B12" s="79" t="s">
        <v>75</v>
      </c>
      <c r="C12" s="97" t="s">
        <v>115</v>
      </c>
      <c r="D12" s="83" t="s">
        <v>56</v>
      </c>
      <c r="E12" s="48" t="s">
        <v>105</v>
      </c>
      <c r="F12" s="51" t="s">
        <v>194</v>
      </c>
    </row>
    <row r="13" spans="2:6" x14ac:dyDescent="0.35">
      <c r="B13" s="79" t="s">
        <v>84</v>
      </c>
      <c r="C13" s="97" t="s">
        <v>116</v>
      </c>
      <c r="D13" s="83" t="s">
        <v>56</v>
      </c>
      <c r="E13" s="98" t="s">
        <v>105</v>
      </c>
      <c r="F13" s="99" t="s">
        <v>195</v>
      </c>
    </row>
    <row r="14" spans="2:6" x14ac:dyDescent="0.35">
      <c r="B14" s="79" t="s">
        <v>87</v>
      </c>
      <c r="C14" s="37" t="s">
        <v>117</v>
      </c>
      <c r="D14" s="24" t="s">
        <v>56</v>
      </c>
      <c r="E14" s="49" t="s">
        <v>90</v>
      </c>
      <c r="F14" s="52" t="s">
        <v>198</v>
      </c>
    </row>
    <row r="15" spans="2:6" x14ac:dyDescent="0.35">
      <c r="B15" s="79"/>
      <c r="C15" s="54"/>
      <c r="D15" s="25"/>
      <c r="E15" s="48"/>
      <c r="F15" s="51" t="s">
        <v>199</v>
      </c>
    </row>
    <row r="16" spans="2:6" x14ac:dyDescent="0.35">
      <c r="B16" s="46" t="s">
        <v>128</v>
      </c>
      <c r="C16" s="37" t="s">
        <v>118</v>
      </c>
      <c r="D16" s="24" t="s">
        <v>56</v>
      </c>
      <c r="E16" s="49" t="s">
        <v>90</v>
      </c>
      <c r="F16" s="52" t="s">
        <v>196</v>
      </c>
    </row>
    <row r="17" spans="2:6" x14ac:dyDescent="0.35">
      <c r="B17" s="53"/>
      <c r="C17" s="54"/>
      <c r="D17" s="25"/>
      <c r="E17" s="48"/>
      <c r="F17" s="51" t="s">
        <v>197</v>
      </c>
    </row>
    <row r="18" spans="2:6" x14ac:dyDescent="0.35">
      <c r="B18" s="79" t="s">
        <v>129</v>
      </c>
      <c r="C18" s="97" t="s">
        <v>119</v>
      </c>
      <c r="D18" s="83" t="s">
        <v>56</v>
      </c>
      <c r="E18" s="98" t="s">
        <v>200</v>
      </c>
      <c r="F18" s="99" t="s">
        <v>201</v>
      </c>
    </row>
    <row r="19" spans="2:6" x14ac:dyDescent="0.35">
      <c r="B19" s="79" t="s">
        <v>130</v>
      </c>
      <c r="C19" s="97" t="s">
        <v>202</v>
      </c>
      <c r="D19" s="83" t="s">
        <v>56</v>
      </c>
      <c r="E19" s="98" t="s">
        <v>180</v>
      </c>
      <c r="F19" s="99" t="s">
        <v>202</v>
      </c>
    </row>
    <row r="20" spans="2:6" x14ac:dyDescent="0.35">
      <c r="B20" s="79" t="s">
        <v>131</v>
      </c>
      <c r="C20" s="97" t="s">
        <v>204</v>
      </c>
      <c r="D20" s="83" t="s">
        <v>56</v>
      </c>
      <c r="E20" s="98" t="s">
        <v>79</v>
      </c>
      <c r="F20" s="219" t="s">
        <v>204</v>
      </c>
    </row>
    <row r="21" spans="2:6" x14ac:dyDescent="0.35">
      <c r="B21" s="79" t="s">
        <v>132</v>
      </c>
      <c r="C21" s="97" t="s">
        <v>203</v>
      </c>
      <c r="D21" s="83" t="s">
        <v>56</v>
      </c>
      <c r="E21" s="98" t="s">
        <v>205</v>
      </c>
      <c r="F21" s="219" t="s">
        <v>203</v>
      </c>
    </row>
    <row r="22" spans="2:6" x14ac:dyDescent="0.35">
      <c r="B22" s="79" t="s">
        <v>133</v>
      </c>
      <c r="C22" s="97" t="s">
        <v>191</v>
      </c>
      <c r="D22" s="83" t="s">
        <v>56</v>
      </c>
      <c r="E22" s="98" t="s">
        <v>90</v>
      </c>
      <c r="F22" s="219" t="s">
        <v>191</v>
      </c>
    </row>
    <row r="23" spans="2:6" x14ac:dyDescent="0.35">
      <c r="B23" s="79" t="s">
        <v>134</v>
      </c>
      <c r="C23" s="97" t="s">
        <v>192</v>
      </c>
      <c r="D23" s="83" t="s">
        <v>56</v>
      </c>
      <c r="E23" s="98" t="s">
        <v>79</v>
      </c>
      <c r="F23" s="219" t="s">
        <v>192</v>
      </c>
    </row>
    <row r="24" spans="2:6" x14ac:dyDescent="0.35">
      <c r="B24" s="53" t="s">
        <v>135</v>
      </c>
      <c r="C24" s="78" t="s">
        <v>193</v>
      </c>
      <c r="D24" s="25" t="s">
        <v>56</v>
      </c>
      <c r="E24" s="87" t="s">
        <v>90</v>
      </c>
      <c r="F24" s="88" t="s">
        <v>193</v>
      </c>
    </row>
    <row r="25" spans="2:6" x14ac:dyDescent="0.35">
      <c r="B25" s="53" t="s">
        <v>136</v>
      </c>
      <c r="C25" s="41" t="s">
        <v>120</v>
      </c>
      <c r="D25" s="25" t="s">
        <v>56</v>
      </c>
      <c r="E25" s="85" t="s">
        <v>105</v>
      </c>
      <c r="F25" s="86" t="s">
        <v>194</v>
      </c>
    </row>
    <row r="26" spans="2:6" x14ac:dyDescent="0.35">
      <c r="B26" s="79" t="s">
        <v>137</v>
      </c>
      <c r="C26" s="80" t="s">
        <v>121</v>
      </c>
      <c r="D26" s="25" t="s">
        <v>56</v>
      </c>
      <c r="E26" s="87" t="s">
        <v>105</v>
      </c>
      <c r="F26" s="81" t="s">
        <v>195</v>
      </c>
    </row>
    <row r="27" spans="2:6" x14ac:dyDescent="0.35">
      <c r="B27" s="46" t="s">
        <v>138</v>
      </c>
      <c r="C27" s="77" t="s">
        <v>122</v>
      </c>
      <c r="D27" s="24" t="s">
        <v>56</v>
      </c>
      <c r="E27" s="89" t="s">
        <v>90</v>
      </c>
      <c r="F27" s="91" t="s">
        <v>198</v>
      </c>
    </row>
    <row r="28" spans="2:6" x14ac:dyDescent="0.35">
      <c r="B28" s="53"/>
      <c r="C28" s="78"/>
      <c r="D28" s="25"/>
      <c r="E28" s="85"/>
      <c r="F28" s="86" t="s">
        <v>199</v>
      </c>
    </row>
    <row r="29" spans="2:6" x14ac:dyDescent="0.35">
      <c r="B29" s="45" t="s">
        <v>139</v>
      </c>
      <c r="C29" s="41" t="s">
        <v>123</v>
      </c>
      <c r="D29" s="24" t="s">
        <v>56</v>
      </c>
      <c r="E29" s="89" t="s">
        <v>90</v>
      </c>
      <c r="F29" s="91" t="s">
        <v>196</v>
      </c>
    </row>
    <row r="30" spans="2:6" x14ac:dyDescent="0.35">
      <c r="B30" s="45"/>
      <c r="C30" s="41"/>
      <c r="D30" s="25"/>
      <c r="E30" s="85"/>
      <c r="F30" s="86" t="s">
        <v>197</v>
      </c>
    </row>
    <row r="31" spans="2:6" x14ac:dyDescent="0.35">
      <c r="B31" s="79" t="s">
        <v>140</v>
      </c>
      <c r="C31" s="80" t="s">
        <v>148</v>
      </c>
      <c r="D31" s="25" t="s">
        <v>56</v>
      </c>
      <c r="E31" s="85" t="s">
        <v>105</v>
      </c>
      <c r="F31" s="86" t="s">
        <v>194</v>
      </c>
    </row>
    <row r="32" spans="2:6" x14ac:dyDescent="0.35">
      <c r="B32" s="79" t="s">
        <v>141</v>
      </c>
      <c r="C32" s="80" t="s">
        <v>149</v>
      </c>
      <c r="D32" s="25" t="s">
        <v>56</v>
      </c>
      <c r="E32" s="87" t="s">
        <v>105</v>
      </c>
      <c r="F32" s="81" t="s">
        <v>195</v>
      </c>
    </row>
    <row r="33" spans="2:6" x14ac:dyDescent="0.35">
      <c r="B33" s="45" t="s">
        <v>142</v>
      </c>
      <c r="C33" s="41" t="s">
        <v>150</v>
      </c>
      <c r="D33" s="21" t="s">
        <v>56</v>
      </c>
      <c r="E33" s="89" t="s">
        <v>90</v>
      </c>
      <c r="F33" s="91" t="s">
        <v>198</v>
      </c>
    </row>
    <row r="34" spans="2:6" x14ac:dyDescent="0.35">
      <c r="B34" s="45"/>
      <c r="C34" s="41"/>
      <c r="D34" s="25"/>
      <c r="E34" s="85"/>
      <c r="F34" s="86" t="s">
        <v>199</v>
      </c>
    </row>
    <row r="35" spans="2:6" x14ac:dyDescent="0.35">
      <c r="B35" s="46" t="s">
        <v>143</v>
      </c>
      <c r="C35" s="77" t="s">
        <v>151</v>
      </c>
      <c r="D35" s="21" t="s">
        <v>56</v>
      </c>
      <c r="E35" s="89" t="s">
        <v>90</v>
      </c>
      <c r="F35" s="91" t="s">
        <v>196</v>
      </c>
    </row>
    <row r="36" spans="2:6" x14ac:dyDescent="0.35">
      <c r="B36" s="53"/>
      <c r="C36" s="78"/>
      <c r="D36" s="25"/>
      <c r="E36" s="85"/>
      <c r="F36" s="86" t="s">
        <v>197</v>
      </c>
    </row>
    <row r="37" spans="2:6" x14ac:dyDescent="0.35">
      <c r="B37" s="79" t="s">
        <v>144</v>
      </c>
      <c r="C37" s="80" t="s">
        <v>152</v>
      </c>
      <c r="D37" s="25" t="s">
        <v>56</v>
      </c>
      <c r="E37" s="85" t="s">
        <v>105</v>
      </c>
      <c r="F37" s="86" t="s">
        <v>194</v>
      </c>
    </row>
    <row r="38" spans="2:6" x14ac:dyDescent="0.35">
      <c r="B38" s="79" t="s">
        <v>145</v>
      </c>
      <c r="C38" s="80" t="s">
        <v>153</v>
      </c>
      <c r="D38" s="25" t="s">
        <v>56</v>
      </c>
      <c r="E38" s="87" t="s">
        <v>105</v>
      </c>
      <c r="F38" s="81" t="s">
        <v>195</v>
      </c>
    </row>
    <row r="39" spans="2:6" x14ac:dyDescent="0.35">
      <c r="B39" s="45" t="s">
        <v>146</v>
      </c>
      <c r="C39" s="41" t="s">
        <v>154</v>
      </c>
      <c r="D39" s="24" t="s">
        <v>56</v>
      </c>
      <c r="E39" s="89" t="s">
        <v>90</v>
      </c>
      <c r="F39" s="91" t="s">
        <v>198</v>
      </c>
    </row>
    <row r="40" spans="2:6" x14ac:dyDescent="0.35">
      <c r="B40" s="45"/>
      <c r="C40" s="41"/>
      <c r="D40" s="25"/>
      <c r="E40" s="85"/>
      <c r="F40" s="86" t="s">
        <v>199</v>
      </c>
    </row>
    <row r="41" spans="2:6" x14ac:dyDescent="0.35">
      <c r="B41" s="46" t="s">
        <v>147</v>
      </c>
      <c r="C41" s="77" t="s">
        <v>155</v>
      </c>
      <c r="D41" s="24" t="s">
        <v>56</v>
      </c>
      <c r="E41" s="89" t="s">
        <v>90</v>
      </c>
      <c r="F41" s="91" t="s">
        <v>196</v>
      </c>
    </row>
    <row r="42" spans="2:6" x14ac:dyDescent="0.35">
      <c r="B42" s="53"/>
      <c r="C42" s="78"/>
      <c r="D42" s="25"/>
      <c r="E42" s="85"/>
      <c r="F42" s="86" t="s">
        <v>197</v>
      </c>
    </row>
    <row r="43" spans="2:6" x14ac:dyDescent="0.35">
      <c r="B43" s="79" t="s">
        <v>164</v>
      </c>
      <c r="C43" s="80" t="s">
        <v>156</v>
      </c>
      <c r="D43" s="25" t="s">
        <v>56</v>
      </c>
      <c r="E43" s="85" t="s">
        <v>105</v>
      </c>
      <c r="F43" s="86" t="s">
        <v>194</v>
      </c>
    </row>
    <row r="44" spans="2:6" x14ac:dyDescent="0.35">
      <c r="B44" s="53" t="s">
        <v>165</v>
      </c>
      <c r="C44" s="41" t="s">
        <v>157</v>
      </c>
      <c r="D44" s="25" t="s">
        <v>56</v>
      </c>
      <c r="E44" s="87" t="s">
        <v>105</v>
      </c>
      <c r="F44" s="81" t="s">
        <v>195</v>
      </c>
    </row>
    <row r="45" spans="2:6" x14ac:dyDescent="0.35">
      <c r="B45" s="45" t="s">
        <v>166</v>
      </c>
      <c r="C45" s="77" t="s">
        <v>158</v>
      </c>
      <c r="D45" s="21" t="s">
        <v>56</v>
      </c>
      <c r="E45" s="89" t="s">
        <v>90</v>
      </c>
      <c r="F45" s="91" t="s">
        <v>198</v>
      </c>
    </row>
    <row r="46" spans="2:6" x14ac:dyDescent="0.35">
      <c r="B46" s="45"/>
      <c r="C46" s="41"/>
      <c r="D46" s="25"/>
      <c r="E46" s="85"/>
      <c r="F46" s="86" t="s">
        <v>199</v>
      </c>
    </row>
    <row r="47" spans="2:6" x14ac:dyDescent="0.35">
      <c r="B47" s="79" t="s">
        <v>167</v>
      </c>
      <c r="C47" s="77" t="s">
        <v>159</v>
      </c>
      <c r="D47" s="25" t="s">
        <v>56</v>
      </c>
      <c r="E47" s="87" t="s">
        <v>90</v>
      </c>
      <c r="F47" s="81" t="s">
        <v>196</v>
      </c>
    </row>
    <row r="48" spans="2:6" x14ac:dyDescent="0.35">
      <c r="B48" s="79"/>
      <c r="C48" s="77"/>
      <c r="D48" s="25"/>
      <c r="E48" s="87"/>
      <c r="F48" s="81" t="s">
        <v>197</v>
      </c>
    </row>
    <row r="49" spans="2:6" x14ac:dyDescent="0.35">
      <c r="B49" s="79" t="s">
        <v>168</v>
      </c>
      <c r="C49" s="77" t="s">
        <v>160</v>
      </c>
      <c r="D49" s="25" t="s">
        <v>56</v>
      </c>
      <c r="E49" s="85" t="s">
        <v>105</v>
      </c>
      <c r="F49" s="86" t="s">
        <v>194</v>
      </c>
    </row>
    <row r="50" spans="2:6" x14ac:dyDescent="0.35">
      <c r="B50" s="79" t="s">
        <v>169</v>
      </c>
      <c r="C50" s="80" t="s">
        <v>161</v>
      </c>
      <c r="D50" s="83" t="s">
        <v>56</v>
      </c>
      <c r="E50" s="87" t="s">
        <v>105</v>
      </c>
      <c r="F50" s="81" t="s">
        <v>195</v>
      </c>
    </row>
    <row r="51" spans="2:6" x14ac:dyDescent="0.35">
      <c r="B51" s="46" t="s">
        <v>170</v>
      </c>
      <c r="C51" s="77" t="s">
        <v>162</v>
      </c>
      <c r="D51" s="24" t="s">
        <v>56</v>
      </c>
      <c r="E51" s="89" t="s">
        <v>90</v>
      </c>
      <c r="F51" s="91" t="s">
        <v>198</v>
      </c>
    </row>
    <row r="52" spans="2:6" ht="15" thickBot="1" x14ac:dyDescent="0.4">
      <c r="B52" s="45"/>
      <c r="C52" s="78"/>
      <c r="D52" s="26"/>
      <c r="E52" s="85"/>
      <c r="F52" s="86" t="s">
        <v>199</v>
      </c>
    </row>
    <row r="53" spans="2:6" x14ac:dyDescent="0.35">
      <c r="B53" s="46" t="s">
        <v>171</v>
      </c>
      <c r="C53" s="77" t="s">
        <v>163</v>
      </c>
      <c r="D53" s="64" t="s">
        <v>56</v>
      </c>
      <c r="E53" s="89" t="s">
        <v>90</v>
      </c>
      <c r="F53" s="91" t="s">
        <v>196</v>
      </c>
    </row>
    <row r="54" spans="2:6" x14ac:dyDescent="0.35">
      <c r="B54" s="53"/>
      <c r="C54" s="78"/>
      <c r="D54" s="84"/>
      <c r="E54" s="85"/>
      <c r="F54" s="86" t="s">
        <v>197</v>
      </c>
    </row>
    <row r="55" spans="2:6" x14ac:dyDescent="0.35">
      <c r="B55" s="46" t="s">
        <v>172</v>
      </c>
      <c r="C55" s="80" t="s">
        <v>189</v>
      </c>
      <c r="D55" s="211" t="s">
        <v>187</v>
      </c>
      <c r="E55" s="87"/>
      <c r="F55" s="81" t="s">
        <v>188</v>
      </c>
    </row>
    <row r="56" spans="2:6" x14ac:dyDescent="0.35">
      <c r="B56" s="59" t="s">
        <v>470</v>
      </c>
      <c r="C56" s="222" t="s">
        <v>465</v>
      </c>
      <c r="D56" s="221" t="s">
        <v>61</v>
      </c>
      <c r="E56" s="89" t="s">
        <v>90</v>
      </c>
      <c r="F56" s="2" t="s">
        <v>466</v>
      </c>
    </row>
    <row r="57" spans="2:6" x14ac:dyDescent="0.35">
      <c r="B57" s="59"/>
      <c r="C57" s="222"/>
      <c r="D57" s="16"/>
      <c r="E57" s="90"/>
      <c r="F57" s="2" t="s">
        <v>467</v>
      </c>
    </row>
    <row r="58" spans="2:6" x14ac:dyDescent="0.35">
      <c r="B58" s="45"/>
      <c r="C58" s="41"/>
      <c r="D58" s="16"/>
      <c r="E58" s="90" t="s">
        <v>212</v>
      </c>
      <c r="F58" s="2" t="s">
        <v>468</v>
      </c>
    </row>
    <row r="59" spans="2:6" x14ac:dyDescent="0.35">
      <c r="B59" s="53"/>
      <c r="C59" s="78"/>
      <c r="D59" s="213"/>
      <c r="E59" s="90"/>
      <c r="F59" s="2" t="s">
        <v>469</v>
      </c>
    </row>
    <row r="60" spans="2:6" x14ac:dyDescent="0.35">
      <c r="B60" s="45" t="s">
        <v>173</v>
      </c>
      <c r="C60" s="41" t="s">
        <v>174</v>
      </c>
      <c r="D60" s="212" t="s">
        <v>56</v>
      </c>
      <c r="E60" s="89" t="s">
        <v>89</v>
      </c>
      <c r="F60" s="91" t="s">
        <v>176</v>
      </c>
    </row>
    <row r="61" spans="2:6" x14ac:dyDescent="0.35">
      <c r="B61" s="45"/>
      <c r="C61" s="41"/>
      <c r="D61" s="213"/>
      <c r="E61" s="90" t="s">
        <v>177</v>
      </c>
      <c r="F61" s="2" t="s">
        <v>178</v>
      </c>
    </row>
    <row r="62" spans="2:6" x14ac:dyDescent="0.35">
      <c r="B62" s="45"/>
      <c r="C62" s="41"/>
      <c r="D62" s="213"/>
      <c r="E62" s="90"/>
      <c r="F62" s="2" t="s">
        <v>179</v>
      </c>
    </row>
    <row r="63" spans="2:6" x14ac:dyDescent="0.35">
      <c r="B63" s="45"/>
      <c r="C63" s="41"/>
      <c r="D63" s="213"/>
      <c r="E63" s="90" t="s">
        <v>180</v>
      </c>
      <c r="F63" s="2" t="s">
        <v>181</v>
      </c>
    </row>
    <row r="64" spans="2:6" x14ac:dyDescent="0.35">
      <c r="B64" s="45"/>
      <c r="C64" s="41"/>
      <c r="D64" s="213"/>
      <c r="E64" s="16"/>
      <c r="F64" s="2" t="s">
        <v>182</v>
      </c>
    </row>
    <row r="65" spans="2:6" x14ac:dyDescent="0.35">
      <c r="B65" s="45"/>
      <c r="C65" s="41"/>
      <c r="D65" s="213"/>
      <c r="E65" s="16"/>
      <c r="F65" s="2" t="s">
        <v>183</v>
      </c>
    </row>
    <row r="66" spans="2:6" x14ac:dyDescent="0.35">
      <c r="B66" s="45"/>
      <c r="C66" s="41"/>
      <c r="D66" s="213"/>
      <c r="E66" s="16"/>
      <c r="F66" s="2" t="s">
        <v>184</v>
      </c>
    </row>
    <row r="67" spans="2:6" x14ac:dyDescent="0.35">
      <c r="B67" s="53"/>
      <c r="C67" s="78"/>
      <c r="D67" s="211"/>
      <c r="E67" s="17"/>
      <c r="F67" s="76" t="s">
        <v>185</v>
      </c>
    </row>
    <row r="68" spans="2:6" ht="15" thickBot="1" x14ac:dyDescent="0.4">
      <c r="B68" s="75" t="s">
        <v>175</v>
      </c>
      <c r="C68" s="42" t="s">
        <v>186</v>
      </c>
      <c r="D68" s="214" t="s">
        <v>187</v>
      </c>
      <c r="E68" s="18"/>
      <c r="F68" s="3" t="s">
        <v>190</v>
      </c>
    </row>
    <row r="69" spans="2:6" ht="15" thickBot="1" x14ac:dyDescent="0.4">
      <c r="B69" s="1"/>
    </row>
    <row r="70" spans="2:6" x14ac:dyDescent="0.35">
      <c r="B70" s="251" t="s">
        <v>394</v>
      </c>
      <c r="C70" s="252"/>
      <c r="D70" s="252"/>
      <c r="E70" s="252"/>
      <c r="F70" s="253"/>
    </row>
    <row r="71" spans="2:6" ht="15" thickBot="1" x14ac:dyDescent="0.4">
      <c r="B71" s="254"/>
      <c r="C71" s="255"/>
      <c r="D71" s="255"/>
      <c r="E71" s="255"/>
      <c r="F71" s="256"/>
    </row>
  </sheetData>
  <mergeCells count="3">
    <mergeCell ref="B2:F2"/>
    <mergeCell ref="C3:F3"/>
    <mergeCell ref="B70:F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8B70-5AA1-46BE-8DDC-D27CF3082A86}">
  <dimension ref="B1:F44"/>
  <sheetViews>
    <sheetView workbookViewId="0">
      <selection activeCell="I21" sqref="I21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42.453125" customWidth="1"/>
  </cols>
  <sheetData>
    <row r="1" spans="2:6" ht="15" thickBot="1" x14ac:dyDescent="0.4"/>
    <row r="2" spans="2:6" ht="15" thickBot="1" x14ac:dyDescent="0.4">
      <c r="B2" s="265" t="s">
        <v>92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21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35" t="s">
        <v>58</v>
      </c>
    </row>
    <row r="5" spans="2:6" x14ac:dyDescent="0.35">
      <c r="B5" s="72" t="s">
        <v>59</v>
      </c>
      <c r="C5" s="93" t="s">
        <v>218</v>
      </c>
      <c r="D5" s="64" t="s">
        <v>56</v>
      </c>
      <c r="E5" s="67" t="s">
        <v>206</v>
      </c>
      <c r="F5" s="19" t="s">
        <v>207</v>
      </c>
    </row>
    <row r="6" spans="2:6" x14ac:dyDescent="0.35">
      <c r="B6" s="74"/>
      <c r="C6" s="20"/>
      <c r="D6" s="65"/>
      <c r="E6" s="47"/>
      <c r="F6" s="23" t="s">
        <v>208</v>
      </c>
    </row>
    <row r="7" spans="2:6" x14ac:dyDescent="0.35">
      <c r="B7" s="74"/>
      <c r="C7" s="20"/>
      <c r="D7" s="65"/>
      <c r="E7" s="47" t="s">
        <v>209</v>
      </c>
      <c r="F7" s="23" t="s">
        <v>210</v>
      </c>
    </row>
    <row r="8" spans="2:6" x14ac:dyDescent="0.35">
      <c r="B8" s="29"/>
      <c r="C8" s="20"/>
      <c r="D8" s="65"/>
      <c r="E8" s="47"/>
      <c r="F8" s="23" t="s">
        <v>211</v>
      </c>
    </row>
    <row r="9" spans="2:6" x14ac:dyDescent="0.35">
      <c r="B9" s="29"/>
      <c r="C9" s="20"/>
      <c r="D9" s="65"/>
      <c r="E9" s="47" t="s">
        <v>212</v>
      </c>
      <c r="F9" s="23" t="s">
        <v>213</v>
      </c>
    </row>
    <row r="10" spans="2:6" x14ac:dyDescent="0.35">
      <c r="B10" s="144"/>
      <c r="C10" s="94"/>
      <c r="D10" s="66"/>
      <c r="E10" s="48"/>
      <c r="F10" s="95" t="s">
        <v>214</v>
      </c>
    </row>
    <row r="11" spans="2:6" x14ac:dyDescent="0.35">
      <c r="B11" s="79" t="s">
        <v>124</v>
      </c>
      <c r="C11" s="36" t="s">
        <v>215</v>
      </c>
      <c r="D11" s="83" t="s">
        <v>56</v>
      </c>
      <c r="E11" s="220" t="s">
        <v>216</v>
      </c>
      <c r="F11" s="52" t="s">
        <v>217</v>
      </c>
    </row>
    <row r="12" spans="2:6" x14ac:dyDescent="0.35">
      <c r="B12" s="45" t="s">
        <v>63</v>
      </c>
      <c r="C12" s="37" t="s">
        <v>487</v>
      </c>
      <c r="D12" s="100" t="s">
        <v>61</v>
      </c>
      <c r="E12" s="49" t="s">
        <v>90</v>
      </c>
      <c r="F12" s="52" t="s">
        <v>488</v>
      </c>
    </row>
    <row r="13" spans="2:6" x14ac:dyDescent="0.35">
      <c r="B13" s="223"/>
      <c r="C13" s="36"/>
      <c r="D13" s="224"/>
      <c r="E13" s="220"/>
      <c r="F13" s="104" t="s">
        <v>489</v>
      </c>
    </row>
    <row r="14" spans="2:6" x14ac:dyDescent="0.35">
      <c r="B14" s="30"/>
      <c r="C14" s="224"/>
      <c r="D14" s="224"/>
      <c r="E14" s="140" t="s">
        <v>212</v>
      </c>
      <c r="F14" s="104" t="s">
        <v>490</v>
      </c>
    </row>
    <row r="15" spans="2:6" ht="15" thickBot="1" x14ac:dyDescent="0.4">
      <c r="B15" s="31"/>
      <c r="C15" s="225"/>
      <c r="D15" s="225"/>
      <c r="E15" s="226"/>
      <c r="F15" s="216" t="s">
        <v>491</v>
      </c>
    </row>
    <row r="16" spans="2:6" x14ac:dyDescent="0.35">
      <c r="E16" s="15"/>
    </row>
    <row r="17" spans="5:5" x14ac:dyDescent="0.35">
      <c r="E17" s="15"/>
    </row>
    <row r="18" spans="5:5" x14ac:dyDescent="0.35">
      <c r="E18" s="15"/>
    </row>
    <row r="19" spans="5:5" x14ac:dyDescent="0.35">
      <c r="E19" s="15"/>
    </row>
    <row r="20" spans="5:5" x14ac:dyDescent="0.35">
      <c r="E20" s="15"/>
    </row>
    <row r="21" spans="5:5" x14ac:dyDescent="0.35">
      <c r="E21" s="15"/>
    </row>
    <row r="22" spans="5:5" x14ac:dyDescent="0.35">
      <c r="E22" s="15"/>
    </row>
    <row r="23" spans="5:5" x14ac:dyDescent="0.35">
      <c r="E23" s="15"/>
    </row>
    <row r="24" spans="5:5" x14ac:dyDescent="0.35">
      <c r="E24" s="15"/>
    </row>
    <row r="25" spans="5:5" x14ac:dyDescent="0.35">
      <c r="E25" s="15"/>
    </row>
    <row r="26" spans="5:5" x14ac:dyDescent="0.35">
      <c r="E26" s="15"/>
    </row>
    <row r="27" spans="5:5" x14ac:dyDescent="0.35">
      <c r="E27" s="15"/>
    </row>
    <row r="28" spans="5:5" x14ac:dyDescent="0.35">
      <c r="E28" s="15"/>
    </row>
    <row r="29" spans="5:5" x14ac:dyDescent="0.35">
      <c r="E29" s="15"/>
    </row>
    <row r="30" spans="5:5" x14ac:dyDescent="0.35">
      <c r="E30" s="15"/>
    </row>
    <row r="31" spans="5:5" x14ac:dyDescent="0.35">
      <c r="E31" s="15"/>
    </row>
    <row r="32" spans="5:5" x14ac:dyDescent="0.35">
      <c r="E32" s="15"/>
    </row>
    <row r="33" spans="5:5" x14ac:dyDescent="0.35">
      <c r="E33" s="15"/>
    </row>
    <row r="34" spans="5:5" x14ac:dyDescent="0.35">
      <c r="E34" s="15"/>
    </row>
    <row r="35" spans="5:5" x14ac:dyDescent="0.35">
      <c r="E35" s="15"/>
    </row>
    <row r="36" spans="5:5" x14ac:dyDescent="0.35">
      <c r="E36" s="15"/>
    </row>
    <row r="37" spans="5:5" x14ac:dyDescent="0.35">
      <c r="E37" s="15"/>
    </row>
    <row r="38" spans="5:5" x14ac:dyDescent="0.35">
      <c r="E38" s="15"/>
    </row>
    <row r="39" spans="5:5" x14ac:dyDescent="0.35">
      <c r="E39" s="15"/>
    </row>
    <row r="40" spans="5:5" x14ac:dyDescent="0.35">
      <c r="E40" s="15"/>
    </row>
    <row r="41" spans="5:5" x14ac:dyDescent="0.35">
      <c r="E41" s="15"/>
    </row>
    <row r="42" spans="5:5" x14ac:dyDescent="0.35">
      <c r="E42" s="15"/>
    </row>
    <row r="43" spans="5:5" x14ac:dyDescent="0.35">
      <c r="E43" s="15"/>
    </row>
    <row r="44" spans="5:5" x14ac:dyDescent="0.35">
      <c r="E44" s="15"/>
    </row>
  </sheetData>
  <mergeCells count="2">
    <mergeCell ref="B2:F2"/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D23D-A3D5-462B-820F-6405864D6004}">
  <dimension ref="B1:F70"/>
  <sheetViews>
    <sheetView workbookViewId="0">
      <selection activeCell="I23" sqref="I23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36.08984375" customWidth="1"/>
  </cols>
  <sheetData>
    <row r="1" spans="2:6" ht="15" thickBot="1" x14ac:dyDescent="0.4"/>
    <row r="2" spans="2:6" ht="15" thickBot="1" x14ac:dyDescent="0.4">
      <c r="B2" s="265" t="s">
        <v>93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24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57" t="s">
        <v>58</v>
      </c>
    </row>
    <row r="5" spans="2:6" x14ac:dyDescent="0.35">
      <c r="B5" s="53" t="s">
        <v>59</v>
      </c>
      <c r="C5" s="54" t="s">
        <v>223</v>
      </c>
      <c r="D5" s="25" t="s">
        <v>56</v>
      </c>
      <c r="E5" s="48" t="s">
        <v>245</v>
      </c>
      <c r="F5" s="51" t="s">
        <v>256</v>
      </c>
    </row>
    <row r="6" spans="2:6" x14ac:dyDescent="0.35">
      <c r="B6" s="79" t="s">
        <v>124</v>
      </c>
      <c r="C6" s="97" t="s">
        <v>219</v>
      </c>
      <c r="D6" s="25" t="s">
        <v>56</v>
      </c>
      <c r="E6" s="98" t="s">
        <v>245</v>
      </c>
      <c r="F6" s="99" t="s">
        <v>257</v>
      </c>
    </row>
    <row r="7" spans="2:6" x14ac:dyDescent="0.35">
      <c r="B7" s="79" t="s">
        <v>63</v>
      </c>
      <c r="C7" s="97" t="s">
        <v>220</v>
      </c>
      <c r="D7" s="25" t="s">
        <v>56</v>
      </c>
      <c r="E7" s="98" t="s">
        <v>245</v>
      </c>
      <c r="F7" s="99" t="s">
        <v>258</v>
      </c>
    </row>
    <row r="8" spans="2:6" x14ac:dyDescent="0.35">
      <c r="B8" s="79" t="s">
        <v>239</v>
      </c>
      <c r="C8" s="97" t="s">
        <v>221</v>
      </c>
      <c r="D8" s="25" t="s">
        <v>56</v>
      </c>
      <c r="E8" s="98" t="s">
        <v>245</v>
      </c>
      <c r="F8" s="99" t="s">
        <v>259</v>
      </c>
    </row>
    <row r="9" spans="2:6" x14ac:dyDescent="0.35">
      <c r="B9" s="46" t="s">
        <v>125</v>
      </c>
      <c r="C9" s="37" t="s">
        <v>222</v>
      </c>
      <c r="D9" s="21" t="s">
        <v>56</v>
      </c>
      <c r="E9" s="49" t="s">
        <v>90</v>
      </c>
      <c r="F9" s="52" t="s">
        <v>260</v>
      </c>
    </row>
    <row r="10" spans="2:6" x14ac:dyDescent="0.35">
      <c r="B10" s="53"/>
      <c r="C10" s="54"/>
      <c r="D10" s="25"/>
      <c r="E10" s="48"/>
      <c r="F10" s="51" t="s">
        <v>261</v>
      </c>
    </row>
    <row r="11" spans="2:6" x14ac:dyDescent="0.35">
      <c r="B11" s="79" t="s">
        <v>126</v>
      </c>
      <c r="C11" s="97" t="s">
        <v>224</v>
      </c>
      <c r="D11" s="25" t="s">
        <v>56</v>
      </c>
      <c r="E11" s="98" t="s">
        <v>245</v>
      </c>
      <c r="F11" s="99" t="s">
        <v>264</v>
      </c>
    </row>
    <row r="12" spans="2:6" x14ac:dyDescent="0.35">
      <c r="B12" s="79" t="s">
        <v>240</v>
      </c>
      <c r="C12" s="97" t="s">
        <v>225</v>
      </c>
      <c r="D12" s="25" t="s">
        <v>56</v>
      </c>
      <c r="E12" s="98" t="s">
        <v>245</v>
      </c>
      <c r="F12" s="99" t="s">
        <v>265</v>
      </c>
    </row>
    <row r="13" spans="2:6" x14ac:dyDescent="0.35">
      <c r="B13" s="79" t="s">
        <v>127</v>
      </c>
      <c r="C13" s="97" t="s">
        <v>226</v>
      </c>
      <c r="D13" s="25" t="s">
        <v>56</v>
      </c>
      <c r="E13" s="98" t="s">
        <v>245</v>
      </c>
      <c r="F13" s="99" t="s">
        <v>266</v>
      </c>
    </row>
    <row r="14" spans="2:6" x14ac:dyDescent="0.35">
      <c r="B14" s="79" t="s">
        <v>75</v>
      </c>
      <c r="C14" s="97" t="s">
        <v>227</v>
      </c>
      <c r="D14" s="25" t="s">
        <v>56</v>
      </c>
      <c r="E14" s="98" t="s">
        <v>245</v>
      </c>
      <c r="F14" s="99" t="s">
        <v>267</v>
      </c>
    </row>
    <row r="15" spans="2:6" x14ac:dyDescent="0.35">
      <c r="B15" s="46" t="s">
        <v>84</v>
      </c>
      <c r="C15" s="37" t="s">
        <v>228</v>
      </c>
      <c r="D15" s="24" t="s">
        <v>56</v>
      </c>
      <c r="E15" s="49" t="s">
        <v>90</v>
      </c>
      <c r="F15" s="52" t="s">
        <v>262</v>
      </c>
    </row>
    <row r="16" spans="2:6" x14ac:dyDescent="0.35">
      <c r="B16" s="53"/>
      <c r="C16" s="54"/>
      <c r="D16" s="25"/>
      <c r="E16" s="48"/>
      <c r="F16" s="51" t="s">
        <v>263</v>
      </c>
    </row>
    <row r="17" spans="2:6" x14ac:dyDescent="0.35">
      <c r="B17" s="79" t="s">
        <v>85</v>
      </c>
      <c r="C17" s="97" t="s">
        <v>229</v>
      </c>
      <c r="D17" s="25" t="s">
        <v>56</v>
      </c>
      <c r="E17" s="98" t="s">
        <v>245</v>
      </c>
      <c r="F17" s="99" t="s">
        <v>268</v>
      </c>
    </row>
    <row r="18" spans="2:6" x14ac:dyDescent="0.35">
      <c r="B18" s="46" t="s">
        <v>86</v>
      </c>
      <c r="C18" s="37" t="s">
        <v>230</v>
      </c>
      <c r="D18" s="21" t="s">
        <v>56</v>
      </c>
      <c r="E18" s="49" t="s">
        <v>90</v>
      </c>
      <c r="F18" s="52" t="s">
        <v>270</v>
      </c>
    </row>
    <row r="19" spans="2:6" x14ac:dyDescent="0.35">
      <c r="B19" s="53"/>
      <c r="C19" s="54"/>
      <c r="D19" s="25"/>
      <c r="E19" s="48"/>
      <c r="F19" s="51" t="s">
        <v>269</v>
      </c>
    </row>
    <row r="20" spans="2:6" x14ac:dyDescent="0.35">
      <c r="B20" s="45" t="s">
        <v>87</v>
      </c>
      <c r="C20" s="36" t="s">
        <v>460</v>
      </c>
      <c r="D20" s="21" t="s">
        <v>61</v>
      </c>
      <c r="E20" s="47" t="s">
        <v>90</v>
      </c>
      <c r="F20" s="104" t="s">
        <v>461</v>
      </c>
    </row>
    <row r="21" spans="2:6" x14ac:dyDescent="0.35">
      <c r="B21" s="45"/>
      <c r="C21" s="36"/>
      <c r="D21" s="21"/>
      <c r="E21" s="47"/>
      <c r="F21" s="104" t="s">
        <v>462</v>
      </c>
    </row>
    <row r="22" spans="2:6" x14ac:dyDescent="0.35">
      <c r="B22" s="45"/>
      <c r="C22" s="36"/>
      <c r="D22" s="21"/>
      <c r="E22" s="47" t="s">
        <v>212</v>
      </c>
      <c r="F22" s="104" t="s">
        <v>463</v>
      </c>
    </row>
    <row r="23" spans="2:6" x14ac:dyDescent="0.35">
      <c r="B23" s="53"/>
      <c r="C23" s="54"/>
      <c r="D23" s="25"/>
      <c r="E23" s="48"/>
      <c r="F23" s="51" t="s">
        <v>464</v>
      </c>
    </row>
    <row r="24" spans="2:6" x14ac:dyDescent="0.35">
      <c r="B24" s="45" t="s">
        <v>128</v>
      </c>
      <c r="C24" s="36" t="s">
        <v>472</v>
      </c>
      <c r="D24" s="21" t="s">
        <v>56</v>
      </c>
      <c r="E24" s="47" t="s">
        <v>530</v>
      </c>
      <c r="F24" s="104" t="s">
        <v>642</v>
      </c>
    </row>
    <row r="25" spans="2:6" x14ac:dyDescent="0.35">
      <c r="B25" s="45"/>
      <c r="C25" s="36"/>
      <c r="D25" s="21"/>
      <c r="E25" s="47"/>
      <c r="F25" s="104" t="s">
        <v>643</v>
      </c>
    </row>
    <row r="26" spans="2:6" x14ac:dyDescent="0.35">
      <c r="B26" s="45"/>
      <c r="C26" s="36"/>
      <c r="D26" s="21"/>
      <c r="E26" s="47"/>
      <c r="F26" s="104" t="s">
        <v>644</v>
      </c>
    </row>
    <row r="27" spans="2:6" x14ac:dyDescent="0.35">
      <c r="B27" s="45"/>
      <c r="C27" s="36"/>
      <c r="D27" s="21"/>
      <c r="E27" s="47"/>
      <c r="F27" s="104" t="s">
        <v>645</v>
      </c>
    </row>
    <row r="28" spans="2:6" x14ac:dyDescent="0.35">
      <c r="B28" s="45"/>
      <c r="C28" s="36"/>
      <c r="D28" s="21"/>
      <c r="E28" s="47" t="s">
        <v>90</v>
      </c>
      <c r="F28" s="104" t="s">
        <v>473</v>
      </c>
    </row>
    <row r="29" spans="2:6" x14ac:dyDescent="0.35">
      <c r="B29" s="45"/>
      <c r="C29" s="36"/>
      <c r="D29" s="21"/>
      <c r="E29" s="47"/>
      <c r="F29" s="104" t="s">
        <v>474</v>
      </c>
    </row>
    <row r="30" spans="2:6" x14ac:dyDescent="0.35">
      <c r="B30" s="46" t="s">
        <v>130</v>
      </c>
      <c r="C30" s="37" t="s">
        <v>231</v>
      </c>
      <c r="D30" s="24" t="s">
        <v>56</v>
      </c>
      <c r="E30" s="49" t="s">
        <v>246</v>
      </c>
      <c r="F30" s="52" t="s">
        <v>247</v>
      </c>
    </row>
    <row r="31" spans="2:6" x14ac:dyDescent="0.35">
      <c r="B31" s="45"/>
      <c r="C31" s="36"/>
      <c r="D31" s="21"/>
      <c r="E31" s="47"/>
      <c r="F31" s="104" t="s">
        <v>248</v>
      </c>
    </row>
    <row r="32" spans="2:6" x14ac:dyDescent="0.35">
      <c r="B32" s="45"/>
      <c r="C32" s="36"/>
      <c r="D32" s="21"/>
      <c r="E32" s="47" t="s">
        <v>209</v>
      </c>
      <c r="F32" s="104" t="s">
        <v>456</v>
      </c>
    </row>
    <row r="33" spans="2:6" x14ac:dyDescent="0.35">
      <c r="B33" s="45"/>
      <c r="C33" s="36"/>
      <c r="D33" s="21"/>
      <c r="E33" s="47"/>
      <c r="F33" s="104" t="s">
        <v>457</v>
      </c>
    </row>
    <row r="34" spans="2:6" x14ac:dyDescent="0.35">
      <c r="B34" s="45"/>
      <c r="C34" s="36"/>
      <c r="D34" s="21"/>
      <c r="E34" s="47" t="s">
        <v>212</v>
      </c>
      <c r="F34" s="104" t="s">
        <v>249</v>
      </c>
    </row>
    <row r="35" spans="2:6" x14ac:dyDescent="0.35">
      <c r="B35" s="45"/>
      <c r="C35" s="36"/>
      <c r="D35" s="21"/>
      <c r="E35" s="47"/>
      <c r="F35" s="104" t="s">
        <v>250</v>
      </c>
    </row>
    <row r="36" spans="2:6" x14ac:dyDescent="0.35">
      <c r="B36" s="45"/>
      <c r="C36" s="36"/>
      <c r="D36" s="21"/>
      <c r="E36" s="47" t="s">
        <v>90</v>
      </c>
      <c r="F36" s="104" t="s">
        <v>251</v>
      </c>
    </row>
    <row r="37" spans="2:6" x14ac:dyDescent="0.35">
      <c r="B37" s="53"/>
      <c r="C37" s="54"/>
      <c r="D37" s="25"/>
      <c r="E37" s="48"/>
      <c r="F37" s="51" t="s">
        <v>252</v>
      </c>
    </row>
    <row r="38" spans="2:6" x14ac:dyDescent="0.35">
      <c r="B38" s="79" t="s">
        <v>131</v>
      </c>
      <c r="C38" s="97" t="s">
        <v>232</v>
      </c>
      <c r="D38" s="25" t="s">
        <v>56</v>
      </c>
      <c r="E38" s="98" t="s">
        <v>216</v>
      </c>
      <c r="F38" s="99" t="s">
        <v>253</v>
      </c>
    </row>
    <row r="39" spans="2:6" x14ac:dyDescent="0.35">
      <c r="B39" s="79" t="s">
        <v>132</v>
      </c>
      <c r="C39" s="97" t="s">
        <v>233</v>
      </c>
      <c r="D39" s="25" t="s">
        <v>56</v>
      </c>
      <c r="E39" s="98" t="s">
        <v>216</v>
      </c>
      <c r="F39" s="99" t="s">
        <v>253</v>
      </c>
    </row>
    <row r="40" spans="2:6" x14ac:dyDescent="0.35">
      <c r="B40" s="46" t="s">
        <v>133</v>
      </c>
      <c r="C40" s="37" t="s">
        <v>234</v>
      </c>
      <c r="D40" s="21" t="s">
        <v>56</v>
      </c>
      <c r="E40" s="49" t="s">
        <v>102</v>
      </c>
      <c r="F40" s="52" t="s">
        <v>103</v>
      </c>
    </row>
    <row r="41" spans="2:6" x14ac:dyDescent="0.35">
      <c r="B41" s="45"/>
      <c r="C41" s="36"/>
      <c r="D41" s="21"/>
      <c r="E41" s="47" t="s">
        <v>89</v>
      </c>
      <c r="F41" s="104" t="s">
        <v>104</v>
      </c>
    </row>
    <row r="42" spans="2:6" x14ac:dyDescent="0.35">
      <c r="B42" s="53"/>
      <c r="C42" s="54"/>
      <c r="D42" s="25"/>
      <c r="E42" s="48" t="s">
        <v>105</v>
      </c>
      <c r="F42" s="51" t="s">
        <v>106</v>
      </c>
    </row>
    <row r="43" spans="2:6" x14ac:dyDescent="0.35">
      <c r="B43" s="45" t="s">
        <v>241</v>
      </c>
      <c r="C43" s="36" t="s">
        <v>235</v>
      </c>
      <c r="D43" s="21" t="s">
        <v>56</v>
      </c>
      <c r="E43" s="47" t="s">
        <v>102</v>
      </c>
      <c r="F43" s="104" t="s">
        <v>103</v>
      </c>
    </row>
    <row r="44" spans="2:6" x14ac:dyDescent="0.35">
      <c r="B44" s="59"/>
      <c r="C44" s="36"/>
      <c r="D44" s="100"/>
      <c r="E44" s="47" t="s">
        <v>89</v>
      </c>
      <c r="F44" s="104" t="s">
        <v>104</v>
      </c>
    </row>
    <row r="45" spans="2:6" x14ac:dyDescent="0.35">
      <c r="B45" s="53"/>
      <c r="C45" s="54"/>
      <c r="D45" s="25"/>
      <c r="E45" s="47" t="s">
        <v>105</v>
      </c>
      <c r="F45" s="51" t="s">
        <v>106</v>
      </c>
    </row>
    <row r="46" spans="2:6" x14ac:dyDescent="0.35">
      <c r="B46" s="46" t="s">
        <v>135</v>
      </c>
      <c r="C46" s="37" t="s">
        <v>238</v>
      </c>
      <c r="D46" s="92" t="s">
        <v>56</v>
      </c>
      <c r="E46" s="49" t="s">
        <v>102</v>
      </c>
      <c r="F46" s="52" t="s">
        <v>103</v>
      </c>
    </row>
    <row r="47" spans="2:6" x14ac:dyDescent="0.35">
      <c r="B47" s="45"/>
      <c r="C47" s="36"/>
      <c r="D47" s="21"/>
      <c r="E47" s="47" t="s">
        <v>89</v>
      </c>
      <c r="F47" s="104" t="s">
        <v>104</v>
      </c>
    </row>
    <row r="48" spans="2:6" x14ac:dyDescent="0.35">
      <c r="B48" s="53"/>
      <c r="C48" s="54"/>
      <c r="D48" s="25"/>
      <c r="E48" s="48" t="s">
        <v>105</v>
      </c>
      <c r="F48" s="51" t="s">
        <v>106</v>
      </c>
    </row>
    <row r="49" spans="2:6" x14ac:dyDescent="0.35">
      <c r="B49" s="79" t="s">
        <v>242</v>
      </c>
      <c r="C49" s="97" t="s">
        <v>236</v>
      </c>
      <c r="D49" s="83" t="s">
        <v>244</v>
      </c>
      <c r="E49" s="98" t="s">
        <v>62</v>
      </c>
      <c r="F49" s="99" t="s">
        <v>254</v>
      </c>
    </row>
    <row r="50" spans="2:6" ht="15" thickBot="1" x14ac:dyDescent="0.4">
      <c r="B50" s="103" t="s">
        <v>243</v>
      </c>
      <c r="C50" s="105" t="s">
        <v>237</v>
      </c>
      <c r="D50" s="82" t="s">
        <v>187</v>
      </c>
      <c r="E50" s="106"/>
      <c r="F50" s="96" t="s">
        <v>255</v>
      </c>
    </row>
    <row r="51" spans="2:6" x14ac:dyDescent="0.35">
      <c r="E51" s="15"/>
    </row>
    <row r="52" spans="2:6" x14ac:dyDescent="0.35">
      <c r="E52" s="15"/>
    </row>
    <row r="53" spans="2:6" x14ac:dyDescent="0.35">
      <c r="E53" s="15"/>
    </row>
    <row r="54" spans="2:6" x14ac:dyDescent="0.35">
      <c r="E54" s="15"/>
    </row>
    <row r="55" spans="2:6" x14ac:dyDescent="0.35">
      <c r="E55" s="15"/>
    </row>
    <row r="56" spans="2:6" x14ac:dyDescent="0.35">
      <c r="E56" s="15"/>
    </row>
    <row r="57" spans="2:6" x14ac:dyDescent="0.35">
      <c r="E57" s="15"/>
    </row>
    <row r="58" spans="2:6" x14ac:dyDescent="0.35">
      <c r="E58" s="15"/>
    </row>
    <row r="59" spans="2:6" x14ac:dyDescent="0.35">
      <c r="E59" s="15"/>
    </row>
    <row r="60" spans="2:6" x14ac:dyDescent="0.35">
      <c r="E60" s="15"/>
    </row>
    <row r="61" spans="2:6" x14ac:dyDescent="0.35">
      <c r="E61" s="15"/>
    </row>
    <row r="62" spans="2:6" x14ac:dyDescent="0.35">
      <c r="E62" s="15"/>
    </row>
    <row r="63" spans="2:6" x14ac:dyDescent="0.35">
      <c r="E63" s="15"/>
    </row>
    <row r="64" spans="2:6" x14ac:dyDescent="0.35">
      <c r="E64" s="15"/>
    </row>
    <row r="65" spans="5:5" x14ac:dyDescent="0.35">
      <c r="E65" s="15"/>
    </row>
    <row r="66" spans="5:5" x14ac:dyDescent="0.35">
      <c r="E66" s="15"/>
    </row>
    <row r="67" spans="5:5" x14ac:dyDescent="0.35">
      <c r="E67" s="15"/>
    </row>
    <row r="68" spans="5:5" x14ac:dyDescent="0.35">
      <c r="E68" s="15"/>
    </row>
    <row r="69" spans="5:5" x14ac:dyDescent="0.35">
      <c r="E69" s="15"/>
    </row>
    <row r="70" spans="5:5" x14ac:dyDescent="0.35">
      <c r="E70" s="15"/>
    </row>
  </sheetData>
  <mergeCells count="2">
    <mergeCell ref="B2:F2"/>
    <mergeCell ref="C3:F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518D-3585-498B-8030-8F2B586EDEA8}">
  <dimension ref="B1:F47"/>
  <sheetViews>
    <sheetView workbookViewId="0">
      <selection activeCell="B9" sqref="B9:F10"/>
    </sheetView>
  </sheetViews>
  <sheetFormatPr defaultRowHeight="14.5" x14ac:dyDescent="0.35"/>
  <cols>
    <col min="2" max="2" width="11.453125" customWidth="1"/>
    <col min="3" max="3" width="36.54296875" customWidth="1"/>
    <col min="4" max="4" width="6.54296875" customWidth="1"/>
    <col min="5" max="5" width="7.6328125" customWidth="1"/>
    <col min="6" max="6" width="34.90625" customWidth="1"/>
  </cols>
  <sheetData>
    <row r="1" spans="2:6" ht="15" thickBot="1" x14ac:dyDescent="0.4"/>
    <row r="2" spans="2:6" ht="15" thickBot="1" x14ac:dyDescent="0.4">
      <c r="B2" s="265" t="s">
        <v>96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33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35" t="s">
        <v>58</v>
      </c>
    </row>
    <row r="5" spans="2:6" x14ac:dyDescent="0.35">
      <c r="B5" s="102" t="s">
        <v>59</v>
      </c>
      <c r="C5" s="93" t="s">
        <v>327</v>
      </c>
      <c r="D5" s="21" t="s">
        <v>56</v>
      </c>
      <c r="E5" s="220" t="s">
        <v>246</v>
      </c>
      <c r="F5" s="134" t="s">
        <v>332</v>
      </c>
    </row>
    <row r="6" spans="2:6" x14ac:dyDescent="0.35">
      <c r="B6" s="102"/>
      <c r="C6" s="54"/>
      <c r="D6" s="54"/>
      <c r="E6" s="48"/>
      <c r="F6" s="51" t="s">
        <v>328</v>
      </c>
    </row>
    <row r="7" spans="2:6" x14ac:dyDescent="0.35">
      <c r="B7" s="187" t="s">
        <v>124</v>
      </c>
      <c r="C7" s="37" t="s">
        <v>398</v>
      </c>
      <c r="D7" s="21" t="s">
        <v>61</v>
      </c>
      <c r="E7" s="49" t="s">
        <v>90</v>
      </c>
      <c r="F7" s="23" t="s">
        <v>399</v>
      </c>
    </row>
    <row r="8" spans="2:6" x14ac:dyDescent="0.35">
      <c r="B8" s="102"/>
      <c r="C8" s="54"/>
      <c r="D8" s="54"/>
      <c r="E8" s="48"/>
      <c r="F8" s="23" t="s">
        <v>400</v>
      </c>
    </row>
    <row r="9" spans="2:6" x14ac:dyDescent="0.35">
      <c r="B9" s="101" t="s">
        <v>63</v>
      </c>
      <c r="C9" s="97" t="s">
        <v>334</v>
      </c>
      <c r="D9" s="83" t="s">
        <v>56</v>
      </c>
      <c r="E9" s="98" t="s">
        <v>216</v>
      </c>
      <c r="F9" s="99" t="s">
        <v>333</v>
      </c>
    </row>
    <row r="10" spans="2:6" ht="15" thickBot="1" x14ac:dyDescent="0.4">
      <c r="B10" s="136" t="s">
        <v>239</v>
      </c>
      <c r="C10" s="105" t="s">
        <v>329</v>
      </c>
      <c r="D10" s="26" t="s">
        <v>61</v>
      </c>
      <c r="E10" s="106" t="s">
        <v>330</v>
      </c>
      <c r="F10" s="137" t="s">
        <v>331</v>
      </c>
    </row>
    <row r="11" spans="2:6" x14ac:dyDescent="0.35">
      <c r="E11" s="15"/>
    </row>
    <row r="12" spans="2:6" x14ac:dyDescent="0.35">
      <c r="E12" s="15"/>
    </row>
    <row r="13" spans="2:6" x14ac:dyDescent="0.35">
      <c r="E13" s="15"/>
    </row>
    <row r="14" spans="2:6" x14ac:dyDescent="0.35">
      <c r="E14" s="15"/>
    </row>
    <row r="15" spans="2:6" x14ac:dyDescent="0.35">
      <c r="E15" s="15"/>
    </row>
    <row r="16" spans="2:6" x14ac:dyDescent="0.35">
      <c r="E16" s="15"/>
    </row>
    <row r="17" spans="5:5" x14ac:dyDescent="0.35">
      <c r="E17" s="15"/>
    </row>
    <row r="18" spans="5:5" x14ac:dyDescent="0.35">
      <c r="E18" s="15"/>
    </row>
    <row r="19" spans="5:5" x14ac:dyDescent="0.35">
      <c r="E19" s="15"/>
    </row>
    <row r="20" spans="5:5" x14ac:dyDescent="0.35">
      <c r="E20" s="15"/>
    </row>
    <row r="21" spans="5:5" x14ac:dyDescent="0.35">
      <c r="E21" s="15"/>
    </row>
    <row r="22" spans="5:5" x14ac:dyDescent="0.35">
      <c r="E22" s="15"/>
    </row>
    <row r="23" spans="5:5" x14ac:dyDescent="0.35">
      <c r="E23" s="15"/>
    </row>
    <row r="24" spans="5:5" x14ac:dyDescent="0.35">
      <c r="E24" s="15"/>
    </row>
    <row r="25" spans="5:5" x14ac:dyDescent="0.35">
      <c r="E25" s="15"/>
    </row>
    <row r="26" spans="5:5" x14ac:dyDescent="0.35">
      <c r="E26" s="15"/>
    </row>
    <row r="27" spans="5:5" x14ac:dyDescent="0.35">
      <c r="E27" s="15"/>
    </row>
    <row r="28" spans="5:5" x14ac:dyDescent="0.35">
      <c r="E28" s="15"/>
    </row>
    <row r="29" spans="5:5" x14ac:dyDescent="0.35">
      <c r="E29" s="15"/>
    </row>
    <row r="30" spans="5:5" x14ac:dyDescent="0.35">
      <c r="E30" s="15"/>
    </row>
    <row r="31" spans="5:5" x14ac:dyDescent="0.35">
      <c r="E31" s="15"/>
    </row>
    <row r="32" spans="5:5" x14ac:dyDescent="0.35">
      <c r="E32" s="15"/>
    </row>
    <row r="33" spans="5:5" x14ac:dyDescent="0.35">
      <c r="E33" s="15"/>
    </row>
    <row r="34" spans="5:5" x14ac:dyDescent="0.35">
      <c r="E34" s="15"/>
    </row>
    <row r="35" spans="5:5" x14ac:dyDescent="0.35">
      <c r="E35" s="15"/>
    </row>
    <row r="36" spans="5:5" x14ac:dyDescent="0.35">
      <c r="E36" s="15"/>
    </row>
    <row r="37" spans="5:5" x14ac:dyDescent="0.35">
      <c r="E37" s="15"/>
    </row>
    <row r="38" spans="5:5" x14ac:dyDescent="0.35">
      <c r="E38" s="15"/>
    </row>
    <row r="39" spans="5:5" x14ac:dyDescent="0.35">
      <c r="E39" s="15"/>
    </row>
    <row r="40" spans="5:5" x14ac:dyDescent="0.35">
      <c r="E40" s="15"/>
    </row>
    <row r="41" spans="5:5" x14ac:dyDescent="0.35">
      <c r="E41" s="15"/>
    </row>
    <row r="42" spans="5:5" x14ac:dyDescent="0.35">
      <c r="E42" s="15"/>
    </row>
    <row r="43" spans="5:5" x14ac:dyDescent="0.35">
      <c r="E43" s="15"/>
    </row>
    <row r="44" spans="5:5" x14ac:dyDescent="0.35">
      <c r="E44" s="15"/>
    </row>
    <row r="45" spans="5:5" x14ac:dyDescent="0.35">
      <c r="E45" s="15"/>
    </row>
    <row r="46" spans="5:5" x14ac:dyDescent="0.35">
      <c r="E46" s="15"/>
    </row>
    <row r="47" spans="5:5" x14ac:dyDescent="0.35">
      <c r="E47" s="15"/>
    </row>
  </sheetData>
  <mergeCells count="2">
    <mergeCell ref="B2:F2"/>
    <mergeCell ref="C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3EBF-C510-4D5D-AF5A-91042FB3C3D3}">
  <dimension ref="B1:I48"/>
  <sheetViews>
    <sheetView workbookViewId="0">
      <selection activeCell="J22" sqref="J22"/>
    </sheetView>
  </sheetViews>
  <sheetFormatPr defaultRowHeight="14.5" x14ac:dyDescent="0.35"/>
  <cols>
    <col min="1" max="1" width="4.6328125" customWidth="1"/>
    <col min="2" max="2" width="11.453125" customWidth="1"/>
    <col min="3" max="3" width="27" customWidth="1"/>
    <col min="4" max="4" width="6.54296875" customWidth="1"/>
    <col min="5" max="5" width="7.6328125" customWidth="1"/>
    <col min="6" max="6" width="28.54296875" customWidth="1"/>
  </cols>
  <sheetData>
    <row r="1" spans="2:6" ht="15" thickBot="1" x14ac:dyDescent="0.4"/>
    <row r="2" spans="2:6" ht="15" thickBot="1" x14ac:dyDescent="0.4">
      <c r="B2" s="265" t="s">
        <v>94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95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57" t="s">
        <v>58</v>
      </c>
    </row>
    <row r="5" spans="2:6" x14ac:dyDescent="0.35">
      <c r="B5" s="72" t="s">
        <v>59</v>
      </c>
      <c r="C5" s="93" t="s">
        <v>271</v>
      </c>
      <c r="D5" s="21" t="s">
        <v>56</v>
      </c>
      <c r="E5" s="67" t="s">
        <v>246</v>
      </c>
      <c r="F5" s="56" t="s">
        <v>397</v>
      </c>
    </row>
    <row r="6" spans="2:6" x14ac:dyDescent="0.35">
      <c r="B6" s="45"/>
      <c r="C6" s="215"/>
      <c r="D6" s="21"/>
      <c r="E6" s="47"/>
      <c r="F6" s="56" t="s">
        <v>272</v>
      </c>
    </row>
    <row r="7" spans="2:6" x14ac:dyDescent="0.35">
      <c r="B7" s="45"/>
      <c r="C7" s="215"/>
      <c r="D7" s="21"/>
      <c r="E7" s="47" t="s">
        <v>273</v>
      </c>
      <c r="F7" s="56" t="s">
        <v>274</v>
      </c>
    </row>
    <row r="8" spans="2:6" x14ac:dyDescent="0.35">
      <c r="B8" s="45"/>
      <c r="C8" s="215"/>
      <c r="D8" s="21"/>
      <c r="E8" s="47"/>
      <c r="F8" s="56" t="s">
        <v>275</v>
      </c>
    </row>
    <row r="9" spans="2:6" x14ac:dyDescent="0.35">
      <c r="B9" s="45"/>
      <c r="C9" s="215"/>
      <c r="D9" s="21"/>
      <c r="E9" s="47" t="s">
        <v>276</v>
      </c>
      <c r="F9" s="56" t="s">
        <v>292</v>
      </c>
    </row>
    <row r="10" spans="2:6" x14ac:dyDescent="0.35">
      <c r="B10" s="45"/>
      <c r="C10" s="215"/>
      <c r="D10" s="21"/>
      <c r="E10" s="47"/>
      <c r="F10" s="56" t="s">
        <v>277</v>
      </c>
    </row>
    <row r="11" spans="2:6" x14ac:dyDescent="0.35">
      <c r="B11" s="45"/>
      <c r="C11" s="215"/>
      <c r="D11" s="21"/>
      <c r="E11" s="47" t="s">
        <v>448</v>
      </c>
      <c r="F11" s="56" t="s">
        <v>445</v>
      </c>
    </row>
    <row r="12" spans="2:6" x14ac:dyDescent="0.35">
      <c r="B12" s="45"/>
      <c r="C12" s="215"/>
      <c r="D12" s="21"/>
      <c r="E12" s="47"/>
      <c r="F12" s="56" t="s">
        <v>446</v>
      </c>
    </row>
    <row r="13" spans="2:6" x14ac:dyDescent="0.35">
      <c r="B13" s="45"/>
      <c r="C13" s="215"/>
      <c r="D13" s="21"/>
      <c r="E13" s="47" t="s">
        <v>449</v>
      </c>
      <c r="F13" s="56" t="s">
        <v>445</v>
      </c>
    </row>
    <row r="14" spans="2:6" x14ac:dyDescent="0.35">
      <c r="B14" s="45"/>
      <c r="C14" s="215"/>
      <c r="D14" s="21"/>
      <c r="E14" s="47"/>
      <c r="F14" s="56" t="s">
        <v>447</v>
      </c>
    </row>
    <row r="15" spans="2:6" x14ac:dyDescent="0.35">
      <c r="B15" s="45"/>
      <c r="C15" s="215"/>
      <c r="D15" s="21"/>
      <c r="E15" s="47" t="s">
        <v>206</v>
      </c>
      <c r="F15" s="56" t="s">
        <v>278</v>
      </c>
    </row>
    <row r="16" spans="2:6" x14ac:dyDescent="0.35">
      <c r="B16" s="45"/>
      <c r="C16" s="215"/>
      <c r="D16" s="21"/>
      <c r="E16" s="47"/>
      <c r="F16" s="56" t="s">
        <v>279</v>
      </c>
    </row>
    <row r="17" spans="2:9" x14ac:dyDescent="0.35">
      <c r="B17" s="45"/>
      <c r="C17" s="215"/>
      <c r="D17" s="21"/>
      <c r="E17" s="47" t="s">
        <v>209</v>
      </c>
      <c r="F17" s="56" t="s">
        <v>280</v>
      </c>
    </row>
    <row r="18" spans="2:9" x14ac:dyDescent="0.35">
      <c r="B18" s="45"/>
      <c r="C18" s="215"/>
      <c r="D18" s="21"/>
      <c r="E18" s="47"/>
      <c r="F18" s="56" t="s">
        <v>281</v>
      </c>
    </row>
    <row r="19" spans="2:9" x14ac:dyDescent="0.35">
      <c r="B19" s="45"/>
      <c r="C19" s="215"/>
      <c r="D19" s="21"/>
      <c r="E19" s="47" t="s">
        <v>205</v>
      </c>
      <c r="F19" s="56" t="s">
        <v>282</v>
      </c>
      <c r="I19" s="27"/>
    </row>
    <row r="20" spans="2:9" x14ac:dyDescent="0.35">
      <c r="B20" s="45"/>
      <c r="C20" s="215"/>
      <c r="D20" s="21"/>
      <c r="E20" s="47"/>
      <c r="F20" s="56" t="s">
        <v>283</v>
      </c>
    </row>
    <row r="21" spans="2:9" x14ac:dyDescent="0.35">
      <c r="B21" s="45"/>
      <c r="C21" s="215"/>
      <c r="D21" s="21"/>
      <c r="E21" s="47"/>
      <c r="F21" s="56" t="s">
        <v>284</v>
      </c>
    </row>
    <row r="22" spans="2:9" x14ac:dyDescent="0.35">
      <c r="B22" s="53"/>
      <c r="C22" s="109"/>
      <c r="D22" s="25"/>
      <c r="E22" s="48"/>
      <c r="F22" s="110" t="s">
        <v>304</v>
      </c>
    </row>
    <row r="23" spans="2:9" x14ac:dyDescent="0.35">
      <c r="B23" s="46" t="s">
        <v>124</v>
      </c>
      <c r="C23" s="68" t="s">
        <v>294</v>
      </c>
      <c r="D23" s="24" t="s">
        <v>56</v>
      </c>
      <c r="E23" s="49" t="s">
        <v>285</v>
      </c>
      <c r="F23" s="108" t="s">
        <v>286</v>
      </c>
    </row>
    <row r="24" spans="2:9" x14ac:dyDescent="0.35">
      <c r="B24" s="53"/>
      <c r="C24" s="111"/>
      <c r="D24" s="25"/>
      <c r="E24" s="48" t="s">
        <v>287</v>
      </c>
      <c r="F24" s="110" t="s">
        <v>288</v>
      </c>
    </row>
    <row r="25" spans="2:9" x14ac:dyDescent="0.35">
      <c r="B25" s="79" t="s">
        <v>63</v>
      </c>
      <c r="C25" s="97" t="s">
        <v>295</v>
      </c>
      <c r="D25" s="24" t="s">
        <v>56</v>
      </c>
      <c r="E25" s="98" t="s">
        <v>290</v>
      </c>
      <c r="F25" s="112" t="s">
        <v>289</v>
      </c>
    </row>
    <row r="26" spans="2:9" x14ac:dyDescent="0.35">
      <c r="B26" s="79" t="s">
        <v>125</v>
      </c>
      <c r="C26" s="113" t="s">
        <v>296</v>
      </c>
      <c r="D26" s="83" t="s">
        <v>56</v>
      </c>
      <c r="E26" s="107" t="s">
        <v>290</v>
      </c>
      <c r="F26" s="112" t="s">
        <v>291</v>
      </c>
    </row>
    <row r="27" spans="2:9" x14ac:dyDescent="0.35">
      <c r="B27" s="79" t="s">
        <v>240</v>
      </c>
      <c r="C27" s="97" t="s">
        <v>297</v>
      </c>
      <c r="D27" s="83" t="s">
        <v>56</v>
      </c>
      <c r="E27" s="98" t="s">
        <v>287</v>
      </c>
      <c r="F27" s="112" t="s">
        <v>293</v>
      </c>
    </row>
    <row r="28" spans="2:9" x14ac:dyDescent="0.35">
      <c r="B28" s="79" t="s">
        <v>127</v>
      </c>
      <c r="C28" s="97" t="s">
        <v>298</v>
      </c>
      <c r="D28" s="83" t="s">
        <v>56</v>
      </c>
      <c r="E28" s="98" t="s">
        <v>245</v>
      </c>
      <c r="F28" s="112" t="s">
        <v>303</v>
      </c>
    </row>
    <row r="29" spans="2:9" x14ac:dyDescent="0.35">
      <c r="B29" s="79" t="s">
        <v>75</v>
      </c>
      <c r="C29" s="97" t="s">
        <v>299</v>
      </c>
      <c r="D29" s="83" t="s">
        <v>56</v>
      </c>
      <c r="E29" s="98" t="s">
        <v>245</v>
      </c>
      <c r="F29" s="112" t="s">
        <v>299</v>
      </c>
    </row>
    <row r="30" spans="2:9" x14ac:dyDescent="0.35">
      <c r="B30" s="79" t="s">
        <v>84</v>
      </c>
      <c r="C30" s="97" t="s">
        <v>300</v>
      </c>
      <c r="D30" s="83" t="s">
        <v>56</v>
      </c>
      <c r="E30" s="98" t="s">
        <v>245</v>
      </c>
      <c r="F30" s="112" t="s">
        <v>300</v>
      </c>
    </row>
    <row r="31" spans="2:9" x14ac:dyDescent="0.35">
      <c r="B31" s="79" t="s">
        <v>85</v>
      </c>
      <c r="C31" s="97" t="s">
        <v>301</v>
      </c>
      <c r="D31" s="83" t="s">
        <v>56</v>
      </c>
      <c r="E31" s="98" t="s">
        <v>245</v>
      </c>
      <c r="F31" s="112" t="s">
        <v>301</v>
      </c>
    </row>
    <row r="32" spans="2:9" x14ac:dyDescent="0.35">
      <c r="B32" s="79" t="s">
        <v>86</v>
      </c>
      <c r="C32" s="217" t="s">
        <v>302</v>
      </c>
      <c r="D32" s="24" t="s">
        <v>56</v>
      </c>
      <c r="E32" s="49" t="s">
        <v>245</v>
      </c>
      <c r="F32" s="112" t="s">
        <v>302</v>
      </c>
    </row>
    <row r="33" spans="2:6" x14ac:dyDescent="0.35">
      <c r="B33" s="45" t="s">
        <v>454</v>
      </c>
      <c r="C33" s="37" t="s">
        <v>455</v>
      </c>
      <c r="D33" s="218" t="s">
        <v>56</v>
      </c>
      <c r="E33" s="49" t="s">
        <v>102</v>
      </c>
      <c r="F33" s="104" t="s">
        <v>103</v>
      </c>
    </row>
    <row r="34" spans="2:6" x14ac:dyDescent="0.35">
      <c r="B34" s="30"/>
      <c r="C34" s="69"/>
      <c r="D34" s="100"/>
      <c r="E34" s="47" t="s">
        <v>89</v>
      </c>
      <c r="F34" s="104" t="s">
        <v>104</v>
      </c>
    </row>
    <row r="35" spans="2:6" ht="15" thickBot="1" x14ac:dyDescent="0.4">
      <c r="B35" s="31"/>
      <c r="C35" s="70"/>
      <c r="D35" s="173"/>
      <c r="E35" s="50" t="s">
        <v>105</v>
      </c>
      <c r="F35" s="216" t="s">
        <v>106</v>
      </c>
    </row>
    <row r="36" spans="2:6" x14ac:dyDescent="0.35">
      <c r="E36" s="15"/>
    </row>
    <row r="37" spans="2:6" x14ac:dyDescent="0.35">
      <c r="E37" s="15"/>
    </row>
    <row r="38" spans="2:6" x14ac:dyDescent="0.35">
      <c r="E38" s="15"/>
    </row>
    <row r="39" spans="2:6" x14ac:dyDescent="0.35">
      <c r="E39" s="15"/>
    </row>
    <row r="40" spans="2:6" x14ac:dyDescent="0.35">
      <c r="E40" s="15"/>
    </row>
    <row r="41" spans="2:6" x14ac:dyDescent="0.35">
      <c r="E41" s="15"/>
    </row>
    <row r="42" spans="2:6" x14ac:dyDescent="0.35">
      <c r="E42" s="15"/>
    </row>
    <row r="43" spans="2:6" x14ac:dyDescent="0.35">
      <c r="E43" s="15"/>
    </row>
    <row r="44" spans="2:6" x14ac:dyDescent="0.35">
      <c r="E44" s="15"/>
    </row>
    <row r="45" spans="2:6" x14ac:dyDescent="0.35">
      <c r="E45" s="15"/>
    </row>
    <row r="46" spans="2:6" x14ac:dyDescent="0.35">
      <c r="E46" s="15"/>
    </row>
    <row r="47" spans="2:6" x14ac:dyDescent="0.35">
      <c r="E47" s="15"/>
    </row>
    <row r="48" spans="2:6" x14ac:dyDescent="0.35">
      <c r="E48" s="15"/>
    </row>
  </sheetData>
  <mergeCells count="2">
    <mergeCell ref="B2:F2"/>
    <mergeCell ref="C3:F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374-F00D-44DE-A5C1-86DF8358BCE6}">
  <dimension ref="B1:F102"/>
  <sheetViews>
    <sheetView topLeftCell="A22" workbookViewId="0">
      <selection activeCell="F49" sqref="F49"/>
    </sheetView>
  </sheetViews>
  <sheetFormatPr defaultRowHeight="14.5" x14ac:dyDescent="0.35"/>
  <cols>
    <col min="1" max="1" width="4.6328125" customWidth="1"/>
    <col min="2" max="2" width="11.453125" customWidth="1"/>
    <col min="3" max="3" width="40.453125" customWidth="1"/>
    <col min="4" max="4" width="6.54296875" customWidth="1"/>
    <col min="5" max="5" width="7.6328125" customWidth="1"/>
    <col min="6" max="6" width="55" customWidth="1"/>
  </cols>
  <sheetData>
    <row r="1" spans="2:6" ht="15" thickBot="1" x14ac:dyDescent="0.4"/>
    <row r="2" spans="2:6" ht="15" thickBot="1" x14ac:dyDescent="0.4">
      <c r="B2" s="265" t="s">
        <v>97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34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35" t="s">
        <v>58</v>
      </c>
    </row>
    <row r="5" spans="2:6" x14ac:dyDescent="0.35">
      <c r="B5" s="101" t="s">
        <v>59</v>
      </c>
      <c r="C5" s="97" t="s">
        <v>501</v>
      </c>
      <c r="D5" s="83" t="s">
        <v>56</v>
      </c>
      <c r="E5" s="98" t="s">
        <v>290</v>
      </c>
      <c r="F5" s="99" t="s">
        <v>618</v>
      </c>
    </row>
    <row r="6" spans="2:6" x14ac:dyDescent="0.35">
      <c r="B6" s="101" t="s">
        <v>63</v>
      </c>
      <c r="C6" s="97" t="s">
        <v>616</v>
      </c>
      <c r="D6" s="83" t="s">
        <v>56</v>
      </c>
      <c r="E6" s="98" t="s">
        <v>290</v>
      </c>
      <c r="F6" s="99" t="s">
        <v>667</v>
      </c>
    </row>
    <row r="7" spans="2:6" x14ac:dyDescent="0.35">
      <c r="B7" s="101" t="s">
        <v>125</v>
      </c>
      <c r="C7" s="97" t="s">
        <v>500</v>
      </c>
      <c r="D7" s="83" t="s">
        <v>56</v>
      </c>
      <c r="E7" s="98" t="s">
        <v>216</v>
      </c>
      <c r="F7" s="99" t="s">
        <v>587</v>
      </c>
    </row>
    <row r="8" spans="2:6" x14ac:dyDescent="0.35">
      <c r="B8" s="101" t="s">
        <v>126</v>
      </c>
      <c r="C8" s="97" t="s">
        <v>499</v>
      </c>
      <c r="D8" s="83" t="s">
        <v>56</v>
      </c>
      <c r="E8" s="98" t="s">
        <v>216</v>
      </c>
      <c r="F8" s="99" t="s">
        <v>588</v>
      </c>
    </row>
    <row r="9" spans="2:6" x14ac:dyDescent="0.35">
      <c r="B9" s="101" t="s">
        <v>240</v>
      </c>
      <c r="C9" s="97" t="s">
        <v>614</v>
      </c>
      <c r="D9" s="83" t="s">
        <v>56</v>
      </c>
      <c r="E9" s="98" t="s">
        <v>216</v>
      </c>
      <c r="F9" s="99" t="s">
        <v>585</v>
      </c>
    </row>
    <row r="10" spans="2:6" x14ac:dyDescent="0.35">
      <c r="B10" s="101" t="s">
        <v>127</v>
      </c>
      <c r="C10" s="97" t="s">
        <v>615</v>
      </c>
      <c r="D10" s="83" t="s">
        <v>56</v>
      </c>
      <c r="E10" s="98" t="s">
        <v>216</v>
      </c>
      <c r="F10" s="99" t="s">
        <v>586</v>
      </c>
    </row>
    <row r="11" spans="2:6" x14ac:dyDescent="0.35">
      <c r="B11" s="101" t="s">
        <v>75</v>
      </c>
      <c r="C11" s="97" t="s">
        <v>509</v>
      </c>
      <c r="D11" s="83" t="s">
        <v>56</v>
      </c>
      <c r="E11" s="98" t="s">
        <v>290</v>
      </c>
      <c r="F11" s="99" t="s">
        <v>617</v>
      </c>
    </row>
    <row r="12" spans="2:6" x14ac:dyDescent="0.35">
      <c r="B12" s="101" t="s">
        <v>85</v>
      </c>
      <c r="C12" s="97" t="s">
        <v>599</v>
      </c>
      <c r="D12" s="83" t="s">
        <v>56</v>
      </c>
      <c r="E12" s="98" t="s">
        <v>290</v>
      </c>
      <c r="F12" s="99" t="s">
        <v>666</v>
      </c>
    </row>
    <row r="13" spans="2:6" x14ac:dyDescent="0.35">
      <c r="B13" s="101" t="s">
        <v>87</v>
      </c>
      <c r="C13" s="97" t="s">
        <v>600</v>
      </c>
      <c r="D13" s="83" t="s">
        <v>56</v>
      </c>
      <c r="E13" s="98" t="s">
        <v>216</v>
      </c>
      <c r="F13" s="99" t="s">
        <v>589</v>
      </c>
    </row>
    <row r="14" spans="2:6" ht="14.15" customHeight="1" x14ac:dyDescent="0.35">
      <c r="B14" s="101" t="s">
        <v>128</v>
      </c>
      <c r="C14" s="97" t="s">
        <v>601</v>
      </c>
      <c r="D14" s="83" t="s">
        <v>56</v>
      </c>
      <c r="E14" s="98" t="s">
        <v>216</v>
      </c>
      <c r="F14" s="99" t="s">
        <v>590</v>
      </c>
    </row>
    <row r="15" spans="2:6" x14ac:dyDescent="0.35">
      <c r="B15" s="101" t="s">
        <v>508</v>
      </c>
      <c r="C15" s="97" t="s">
        <v>602</v>
      </c>
      <c r="D15" s="83" t="s">
        <v>56</v>
      </c>
      <c r="E15" s="98" t="s">
        <v>216</v>
      </c>
      <c r="F15" s="99" t="s">
        <v>591</v>
      </c>
    </row>
    <row r="16" spans="2:6" x14ac:dyDescent="0.35">
      <c r="B16" s="101" t="s">
        <v>129</v>
      </c>
      <c r="C16" s="97" t="s">
        <v>603</v>
      </c>
      <c r="D16" s="83" t="s">
        <v>56</v>
      </c>
      <c r="E16" s="98" t="s">
        <v>216</v>
      </c>
      <c r="F16" s="99" t="s">
        <v>592</v>
      </c>
    </row>
    <row r="17" spans="2:6" x14ac:dyDescent="0.35">
      <c r="B17" s="101" t="s">
        <v>130</v>
      </c>
      <c r="C17" s="97" t="s">
        <v>604</v>
      </c>
      <c r="D17" s="83" t="s">
        <v>56</v>
      </c>
      <c r="E17" s="98" t="s">
        <v>216</v>
      </c>
      <c r="F17" s="99" t="s">
        <v>591</v>
      </c>
    </row>
    <row r="18" spans="2:6" x14ac:dyDescent="0.35">
      <c r="B18" s="101" t="s">
        <v>131</v>
      </c>
      <c r="C18" s="97" t="s">
        <v>605</v>
      </c>
      <c r="D18" s="83" t="s">
        <v>56</v>
      </c>
      <c r="E18" s="98" t="s">
        <v>216</v>
      </c>
      <c r="F18" s="99" t="s">
        <v>591</v>
      </c>
    </row>
    <row r="19" spans="2:6" x14ac:dyDescent="0.35">
      <c r="B19" s="101" t="s">
        <v>132</v>
      </c>
      <c r="C19" s="97" t="s">
        <v>510</v>
      </c>
      <c r="D19" s="83" t="s">
        <v>56</v>
      </c>
      <c r="E19" s="98" t="s">
        <v>216</v>
      </c>
      <c r="F19" s="99" t="s">
        <v>593</v>
      </c>
    </row>
    <row r="20" spans="2:6" x14ac:dyDescent="0.35">
      <c r="B20" s="101" t="s">
        <v>497</v>
      </c>
      <c r="C20" s="97" t="s">
        <v>511</v>
      </c>
      <c r="D20" s="83" t="s">
        <v>56</v>
      </c>
      <c r="E20" s="98" t="s">
        <v>216</v>
      </c>
      <c r="F20" s="99" t="s">
        <v>594</v>
      </c>
    </row>
    <row r="21" spans="2:6" x14ac:dyDescent="0.35">
      <c r="B21" s="101" t="s">
        <v>133</v>
      </c>
      <c r="C21" s="97" t="s">
        <v>512</v>
      </c>
      <c r="D21" s="83" t="s">
        <v>56</v>
      </c>
      <c r="E21" s="98" t="s">
        <v>216</v>
      </c>
      <c r="F21" s="99" t="s">
        <v>595</v>
      </c>
    </row>
    <row r="22" spans="2:6" x14ac:dyDescent="0.35">
      <c r="B22" s="101" t="s">
        <v>134</v>
      </c>
      <c r="C22" s="97" t="s">
        <v>606</v>
      </c>
      <c r="D22" s="83" t="s">
        <v>56</v>
      </c>
      <c r="E22" s="98" t="s">
        <v>216</v>
      </c>
      <c r="F22" s="99" t="s">
        <v>596</v>
      </c>
    </row>
    <row r="23" spans="2:6" x14ac:dyDescent="0.35">
      <c r="B23" s="187" t="s">
        <v>241</v>
      </c>
      <c r="C23" s="135" t="s">
        <v>627</v>
      </c>
      <c r="D23" s="100" t="s">
        <v>56</v>
      </c>
      <c r="E23" s="47" t="s">
        <v>105</v>
      </c>
      <c r="F23" s="51" t="s">
        <v>659</v>
      </c>
    </row>
    <row r="24" spans="2:6" x14ac:dyDescent="0.35">
      <c r="B24" s="187" t="s">
        <v>513</v>
      </c>
      <c r="C24" s="37" t="s">
        <v>498</v>
      </c>
      <c r="D24" s="24" t="s">
        <v>56</v>
      </c>
      <c r="E24" s="49" t="s">
        <v>77</v>
      </c>
      <c r="F24" s="23" t="s">
        <v>624</v>
      </c>
    </row>
    <row r="25" spans="2:6" x14ac:dyDescent="0.35">
      <c r="B25" s="229"/>
      <c r="C25" s="36"/>
      <c r="D25" s="21"/>
      <c r="E25" s="47"/>
      <c r="F25" s="23" t="s">
        <v>628</v>
      </c>
    </row>
    <row r="26" spans="2:6" x14ac:dyDescent="0.35">
      <c r="B26" s="229"/>
      <c r="C26" s="36"/>
      <c r="D26" s="21"/>
      <c r="E26" s="47" t="s">
        <v>78</v>
      </c>
      <c r="F26" s="23" t="s">
        <v>625</v>
      </c>
    </row>
    <row r="27" spans="2:6" x14ac:dyDescent="0.35">
      <c r="B27" s="229"/>
      <c r="C27" s="36"/>
      <c r="D27" s="21"/>
      <c r="E27" s="47"/>
      <c r="F27" s="23" t="s">
        <v>626</v>
      </c>
    </row>
    <row r="28" spans="2:6" x14ac:dyDescent="0.35">
      <c r="B28" s="229"/>
      <c r="C28" s="36"/>
      <c r="D28" s="21"/>
      <c r="E28" s="47" t="s">
        <v>496</v>
      </c>
      <c r="F28" s="23" t="s">
        <v>502</v>
      </c>
    </row>
    <row r="29" spans="2:6" x14ac:dyDescent="0.35">
      <c r="B29" s="229"/>
      <c r="C29" s="36"/>
      <c r="D29" s="21"/>
      <c r="E29" s="47"/>
      <c r="F29" s="23" t="s">
        <v>503</v>
      </c>
    </row>
    <row r="30" spans="2:6" x14ac:dyDescent="0.35">
      <c r="B30" s="229"/>
      <c r="C30" s="36"/>
      <c r="D30" s="21"/>
      <c r="E30" s="47" t="s">
        <v>495</v>
      </c>
      <c r="F30" s="23" t="s">
        <v>502</v>
      </c>
    </row>
    <row r="31" spans="2:6" x14ac:dyDescent="0.35">
      <c r="B31" s="229"/>
      <c r="C31" s="36"/>
      <c r="D31" s="21"/>
      <c r="E31" s="47"/>
      <c r="F31" s="23" t="s">
        <v>504</v>
      </c>
    </row>
    <row r="32" spans="2:6" x14ac:dyDescent="0.35">
      <c r="B32" s="229"/>
      <c r="C32" s="36"/>
      <c r="D32" s="21"/>
      <c r="E32" s="47" t="s">
        <v>494</v>
      </c>
      <c r="F32" s="23" t="s">
        <v>505</v>
      </c>
    </row>
    <row r="33" spans="2:6" x14ac:dyDescent="0.35">
      <c r="B33" s="229"/>
      <c r="C33" s="36"/>
      <c r="D33" s="21"/>
      <c r="E33" s="47"/>
      <c r="F33" s="23" t="s">
        <v>506</v>
      </c>
    </row>
    <row r="34" spans="2:6" x14ac:dyDescent="0.35">
      <c r="B34" s="229"/>
      <c r="C34" s="36"/>
      <c r="D34" s="21"/>
      <c r="E34" s="47" t="s">
        <v>177</v>
      </c>
      <c r="F34" s="23" t="s">
        <v>505</v>
      </c>
    </row>
    <row r="35" spans="2:6" x14ac:dyDescent="0.35">
      <c r="B35" s="229"/>
      <c r="C35" s="36"/>
      <c r="D35" s="21"/>
      <c r="E35" s="47"/>
      <c r="F35" s="23" t="s">
        <v>507</v>
      </c>
    </row>
    <row r="36" spans="2:6" x14ac:dyDescent="0.35">
      <c r="B36" s="229"/>
      <c r="C36" s="36"/>
      <c r="D36" s="21"/>
      <c r="E36" s="47" t="s">
        <v>206</v>
      </c>
      <c r="F36" s="23" t="s">
        <v>612</v>
      </c>
    </row>
    <row r="37" spans="2:6" x14ac:dyDescent="0.35">
      <c r="B37" s="229"/>
      <c r="C37" s="36"/>
      <c r="D37" s="21"/>
      <c r="E37" s="47"/>
      <c r="F37" s="23" t="s">
        <v>613</v>
      </c>
    </row>
    <row r="38" spans="2:6" x14ac:dyDescent="0.35">
      <c r="B38" s="229"/>
      <c r="C38" s="36"/>
      <c r="D38" s="21"/>
      <c r="E38" s="47" t="s">
        <v>209</v>
      </c>
      <c r="F38" s="23" t="s">
        <v>611</v>
      </c>
    </row>
    <row r="39" spans="2:6" x14ac:dyDescent="0.35">
      <c r="B39" s="229"/>
      <c r="C39" s="36"/>
      <c r="D39" s="21"/>
      <c r="E39" s="47" t="s">
        <v>212</v>
      </c>
      <c r="F39" s="23" t="s">
        <v>610</v>
      </c>
    </row>
    <row r="40" spans="2:6" x14ac:dyDescent="0.35">
      <c r="B40" s="229"/>
      <c r="C40" s="36"/>
      <c r="D40" s="21"/>
      <c r="E40" s="47"/>
      <c r="F40" s="23" t="s">
        <v>609</v>
      </c>
    </row>
    <row r="41" spans="2:6" x14ac:dyDescent="0.35">
      <c r="B41" s="229"/>
      <c r="C41" s="36"/>
      <c r="D41" s="21"/>
      <c r="E41" s="47" t="s">
        <v>90</v>
      </c>
      <c r="F41" s="23" t="s">
        <v>607</v>
      </c>
    </row>
    <row r="42" spans="2:6" x14ac:dyDescent="0.35">
      <c r="B42" s="227"/>
      <c r="C42" s="54"/>
      <c r="D42" s="25"/>
      <c r="E42" s="48"/>
      <c r="F42" s="51" t="s">
        <v>608</v>
      </c>
    </row>
    <row r="43" spans="2:6" x14ac:dyDescent="0.35">
      <c r="B43" s="227" t="s">
        <v>135</v>
      </c>
      <c r="C43" s="54" t="s">
        <v>515</v>
      </c>
      <c r="D43" s="25" t="s">
        <v>56</v>
      </c>
      <c r="E43" s="48" t="s">
        <v>62</v>
      </c>
      <c r="F43" s="95" t="s">
        <v>597</v>
      </c>
    </row>
    <row r="44" spans="2:6" x14ac:dyDescent="0.35">
      <c r="B44" s="101" t="s">
        <v>242</v>
      </c>
      <c r="C44" s="97" t="s">
        <v>516</v>
      </c>
      <c r="D44" s="83" t="s">
        <v>56</v>
      </c>
      <c r="E44" s="98" t="s">
        <v>62</v>
      </c>
      <c r="F44" s="99" t="s">
        <v>597</v>
      </c>
    </row>
    <row r="45" spans="2:6" x14ac:dyDescent="0.35">
      <c r="B45" s="101" t="s">
        <v>243</v>
      </c>
      <c r="C45" s="97" t="s">
        <v>660</v>
      </c>
      <c r="D45" s="83" t="s">
        <v>56</v>
      </c>
      <c r="E45" s="98" t="s">
        <v>62</v>
      </c>
      <c r="F45" s="99" t="s">
        <v>661</v>
      </c>
    </row>
    <row r="46" spans="2:6" x14ac:dyDescent="0.35">
      <c r="B46" s="187" t="s">
        <v>662</v>
      </c>
      <c r="C46" s="37" t="s">
        <v>663</v>
      </c>
      <c r="D46" s="24" t="s">
        <v>56</v>
      </c>
      <c r="E46" s="49" t="s">
        <v>90</v>
      </c>
      <c r="F46" s="52" t="s">
        <v>664</v>
      </c>
    </row>
    <row r="47" spans="2:6" x14ac:dyDescent="0.35">
      <c r="B47" s="227"/>
      <c r="C47" s="54"/>
      <c r="D47" s="25"/>
      <c r="E47" s="48"/>
      <c r="F47" s="51" t="s">
        <v>665</v>
      </c>
    </row>
    <row r="48" spans="2:6" x14ac:dyDescent="0.35">
      <c r="B48" s="101" t="s">
        <v>136</v>
      </c>
      <c r="C48" s="97" t="s">
        <v>519</v>
      </c>
      <c r="D48" s="83" t="s">
        <v>56</v>
      </c>
      <c r="E48" s="98" t="s">
        <v>62</v>
      </c>
      <c r="F48" s="99" t="s">
        <v>598</v>
      </c>
    </row>
    <row r="49" spans="2:6" x14ac:dyDescent="0.35">
      <c r="B49" s="97" t="s">
        <v>668</v>
      </c>
      <c r="C49" s="217" t="s">
        <v>669</v>
      </c>
      <c r="D49" s="234" t="s">
        <v>56</v>
      </c>
      <c r="E49" s="98" t="s">
        <v>514</v>
      </c>
      <c r="F49" s="235" t="s">
        <v>670</v>
      </c>
    </row>
    <row r="50" spans="2:6" x14ac:dyDescent="0.35">
      <c r="B50" s="229" t="s">
        <v>517</v>
      </c>
      <c r="C50" s="135" t="s">
        <v>655</v>
      </c>
      <c r="D50" s="100" t="s">
        <v>56</v>
      </c>
      <c r="E50" s="47" t="s">
        <v>496</v>
      </c>
      <c r="F50" s="228" t="s">
        <v>650</v>
      </c>
    </row>
    <row r="51" spans="2:6" x14ac:dyDescent="0.35">
      <c r="B51" s="229"/>
      <c r="C51" s="135"/>
      <c r="D51" s="100"/>
      <c r="E51" s="47" t="s">
        <v>495</v>
      </c>
      <c r="F51" s="228" t="s">
        <v>651</v>
      </c>
    </row>
    <row r="52" spans="2:6" x14ac:dyDescent="0.35">
      <c r="B52" s="229"/>
      <c r="C52" s="135"/>
      <c r="D52" s="100"/>
      <c r="E52" s="47" t="s">
        <v>494</v>
      </c>
      <c r="F52" s="228" t="s">
        <v>652</v>
      </c>
    </row>
    <row r="53" spans="2:6" x14ac:dyDescent="0.35">
      <c r="B53" s="229"/>
      <c r="C53" s="135"/>
      <c r="D53" s="100"/>
      <c r="E53" s="47" t="s">
        <v>177</v>
      </c>
      <c r="F53" s="228" t="s">
        <v>653</v>
      </c>
    </row>
    <row r="54" spans="2:6" x14ac:dyDescent="0.35">
      <c r="B54" s="229"/>
      <c r="C54" s="135"/>
      <c r="D54" s="100"/>
      <c r="E54" s="47" t="s">
        <v>206</v>
      </c>
      <c r="F54" s="228" t="s">
        <v>649</v>
      </c>
    </row>
    <row r="55" spans="2:6" x14ac:dyDescent="0.35">
      <c r="B55" s="229"/>
      <c r="C55" s="135"/>
      <c r="D55" s="100"/>
      <c r="E55" s="47" t="s">
        <v>209</v>
      </c>
      <c r="F55" s="228" t="s">
        <v>648</v>
      </c>
    </row>
    <row r="56" spans="2:6" x14ac:dyDescent="0.35">
      <c r="B56" s="229"/>
      <c r="C56" s="135"/>
      <c r="D56" s="100"/>
      <c r="E56" s="47" t="s">
        <v>212</v>
      </c>
      <c r="F56" s="228" t="s">
        <v>647</v>
      </c>
    </row>
    <row r="57" spans="2:6" x14ac:dyDescent="0.35">
      <c r="B57" s="227"/>
      <c r="C57" s="111"/>
      <c r="D57" s="84"/>
      <c r="E57" s="48" t="s">
        <v>90</v>
      </c>
      <c r="F57" s="233" t="s">
        <v>646</v>
      </c>
    </row>
    <row r="58" spans="2:6" x14ac:dyDescent="0.35">
      <c r="B58" s="229" t="s">
        <v>138</v>
      </c>
      <c r="C58" s="36" t="s">
        <v>520</v>
      </c>
      <c r="D58" s="21" t="s">
        <v>56</v>
      </c>
      <c r="E58" s="47" t="s">
        <v>521</v>
      </c>
      <c r="F58" s="23" t="s">
        <v>522</v>
      </c>
    </row>
    <row r="59" spans="2:6" x14ac:dyDescent="0.35">
      <c r="B59" s="229"/>
      <c r="C59" s="36"/>
      <c r="D59" s="21"/>
      <c r="E59" s="47"/>
      <c r="F59" s="23" t="s">
        <v>523</v>
      </c>
    </row>
    <row r="60" spans="2:6" x14ac:dyDescent="0.35">
      <c r="B60" s="229"/>
      <c r="C60" s="36"/>
      <c r="D60" s="21"/>
      <c r="E60" s="47"/>
      <c r="F60" s="23" t="s">
        <v>524</v>
      </c>
    </row>
    <row r="61" spans="2:6" x14ac:dyDescent="0.35">
      <c r="B61" s="229"/>
      <c r="C61" s="36"/>
      <c r="D61" s="21"/>
      <c r="E61" s="47"/>
      <c r="F61" s="23" t="s">
        <v>525</v>
      </c>
    </row>
    <row r="62" spans="2:6" x14ac:dyDescent="0.35">
      <c r="B62" s="229"/>
      <c r="C62" s="36"/>
      <c r="D62" s="21"/>
      <c r="E62" s="47"/>
      <c r="F62" s="23" t="s">
        <v>526</v>
      </c>
    </row>
    <row r="63" spans="2:6" x14ac:dyDescent="0.35">
      <c r="B63" s="229"/>
      <c r="C63" s="36"/>
      <c r="D63" s="21"/>
      <c r="E63" s="47" t="s">
        <v>518</v>
      </c>
      <c r="F63" s="23" t="s">
        <v>527</v>
      </c>
    </row>
    <row r="64" spans="2:6" x14ac:dyDescent="0.35">
      <c r="B64" s="227"/>
      <c r="C64" s="54"/>
      <c r="D64" s="25"/>
      <c r="E64" s="48" t="s">
        <v>514</v>
      </c>
      <c r="F64" s="95" t="s">
        <v>528</v>
      </c>
    </row>
    <row r="65" spans="2:6" x14ac:dyDescent="0.35">
      <c r="B65" s="229" t="s">
        <v>139</v>
      </c>
      <c r="C65" s="36" t="s">
        <v>529</v>
      </c>
      <c r="D65" s="21" t="s">
        <v>56</v>
      </c>
      <c r="E65" s="47" t="s">
        <v>448</v>
      </c>
      <c r="F65" s="23" t="s">
        <v>657</v>
      </c>
    </row>
    <row r="66" spans="2:6" x14ac:dyDescent="0.35">
      <c r="B66" s="229"/>
      <c r="C66" s="36"/>
      <c r="D66" s="21"/>
      <c r="E66" s="47"/>
      <c r="F66" s="23" t="s">
        <v>658</v>
      </c>
    </row>
    <row r="67" spans="2:6" x14ac:dyDescent="0.35">
      <c r="B67" s="229"/>
      <c r="C67" s="36"/>
      <c r="D67" s="21"/>
      <c r="E67" s="47" t="s">
        <v>449</v>
      </c>
      <c r="F67" s="23" t="s">
        <v>654</v>
      </c>
    </row>
    <row r="68" spans="2:6" x14ac:dyDescent="0.35">
      <c r="B68" s="229"/>
      <c r="C68" s="36"/>
      <c r="D68" s="21"/>
      <c r="E68" s="47"/>
      <c r="F68" s="23" t="s">
        <v>656</v>
      </c>
    </row>
    <row r="69" spans="2:6" x14ac:dyDescent="0.35">
      <c r="B69" s="229"/>
      <c r="C69" s="36"/>
      <c r="D69" s="21"/>
      <c r="E69" s="47" t="s">
        <v>623</v>
      </c>
      <c r="F69" s="23" t="s">
        <v>539</v>
      </c>
    </row>
    <row r="70" spans="2:6" x14ac:dyDescent="0.35">
      <c r="B70" s="229"/>
      <c r="C70" s="36"/>
      <c r="D70" s="21"/>
      <c r="E70" s="47"/>
      <c r="F70" s="23" t="s">
        <v>540</v>
      </c>
    </row>
    <row r="71" spans="2:6" x14ac:dyDescent="0.35">
      <c r="B71" s="229"/>
      <c r="C71" s="36"/>
      <c r="D71" s="21"/>
      <c r="E71" s="47" t="s">
        <v>619</v>
      </c>
      <c r="F71" s="23" t="s">
        <v>620</v>
      </c>
    </row>
    <row r="72" spans="2:6" x14ac:dyDescent="0.35">
      <c r="B72" s="229"/>
      <c r="C72" s="36"/>
      <c r="D72" s="21"/>
      <c r="E72" s="47"/>
      <c r="F72" s="23" t="s">
        <v>621</v>
      </c>
    </row>
    <row r="73" spans="2:6" x14ac:dyDescent="0.35">
      <c r="B73" s="229"/>
      <c r="C73" s="36"/>
      <c r="D73" s="21"/>
      <c r="E73" s="47"/>
      <c r="F73" s="23" t="s">
        <v>622</v>
      </c>
    </row>
    <row r="74" spans="2:6" x14ac:dyDescent="0.35">
      <c r="B74" s="229"/>
      <c r="C74" s="36"/>
      <c r="D74" s="21"/>
      <c r="E74" s="47" t="s">
        <v>534</v>
      </c>
      <c r="F74" s="23" t="s">
        <v>535</v>
      </c>
    </row>
    <row r="75" spans="2:6" x14ac:dyDescent="0.35">
      <c r="B75" s="229"/>
      <c r="C75" s="36"/>
      <c r="D75" s="21"/>
      <c r="E75" s="47"/>
      <c r="F75" s="23" t="s">
        <v>536</v>
      </c>
    </row>
    <row r="76" spans="2:6" x14ac:dyDescent="0.35">
      <c r="B76" s="229"/>
      <c r="C76" s="36"/>
      <c r="D76" s="21"/>
      <c r="E76" s="47"/>
      <c r="F76" s="23" t="s">
        <v>632</v>
      </c>
    </row>
    <row r="77" spans="2:6" x14ac:dyDescent="0.35">
      <c r="B77" s="229"/>
      <c r="C77" s="36"/>
      <c r="D77" s="21"/>
      <c r="E77" s="47" t="s">
        <v>530</v>
      </c>
      <c r="F77" s="23" t="s">
        <v>533</v>
      </c>
    </row>
    <row r="78" spans="2:6" x14ac:dyDescent="0.35">
      <c r="B78" s="229"/>
      <c r="C78" s="36"/>
      <c r="D78" s="21"/>
      <c r="E78" s="47"/>
      <c r="F78" s="23" t="s">
        <v>531</v>
      </c>
    </row>
    <row r="79" spans="2:6" x14ac:dyDescent="0.35">
      <c r="B79" s="229"/>
      <c r="C79" s="36"/>
      <c r="D79" s="21"/>
      <c r="E79" s="47"/>
      <c r="F79" s="23" t="s">
        <v>532</v>
      </c>
    </row>
    <row r="80" spans="2:6" x14ac:dyDescent="0.35">
      <c r="B80" s="229"/>
      <c r="C80" s="36"/>
      <c r="D80" s="21"/>
      <c r="E80" s="47" t="s">
        <v>90</v>
      </c>
      <c r="F80" s="23" t="s">
        <v>537</v>
      </c>
    </row>
    <row r="81" spans="2:6" x14ac:dyDescent="0.35">
      <c r="B81" s="227"/>
      <c r="C81" s="54"/>
      <c r="D81" s="25"/>
      <c r="E81" s="48"/>
      <c r="F81" s="95" t="s">
        <v>538</v>
      </c>
    </row>
    <row r="82" spans="2:6" x14ac:dyDescent="0.35">
      <c r="B82" s="229" t="s">
        <v>140</v>
      </c>
      <c r="C82" s="36" t="s">
        <v>541</v>
      </c>
      <c r="D82" s="21" t="s">
        <v>56</v>
      </c>
      <c r="E82" s="47" t="s">
        <v>90</v>
      </c>
      <c r="F82" s="23" t="s">
        <v>542</v>
      </c>
    </row>
    <row r="83" spans="2:6" x14ac:dyDescent="0.35">
      <c r="B83" s="227"/>
      <c r="C83" s="54"/>
      <c r="D83" s="25"/>
      <c r="E83" s="48"/>
      <c r="F83" s="95" t="s">
        <v>543</v>
      </c>
    </row>
    <row r="84" spans="2:6" x14ac:dyDescent="0.35">
      <c r="B84" s="229" t="s">
        <v>141</v>
      </c>
      <c r="C84" s="36" t="s">
        <v>544</v>
      </c>
      <c r="D84" s="21" t="s">
        <v>56</v>
      </c>
      <c r="E84" s="47" t="s">
        <v>90</v>
      </c>
      <c r="F84" s="23" t="s">
        <v>545</v>
      </c>
    </row>
    <row r="85" spans="2:6" x14ac:dyDescent="0.35">
      <c r="B85" s="227"/>
      <c r="C85" s="54"/>
      <c r="D85" s="25"/>
      <c r="E85" s="48"/>
      <c r="F85" s="95" t="s">
        <v>546</v>
      </c>
    </row>
    <row r="86" spans="2:6" x14ac:dyDescent="0.35">
      <c r="B86" s="229" t="s">
        <v>629</v>
      </c>
      <c r="C86" s="135" t="s">
        <v>630</v>
      </c>
      <c r="D86" s="21" t="s">
        <v>56</v>
      </c>
      <c r="E86" s="47" t="s">
        <v>105</v>
      </c>
      <c r="F86" s="23" t="s">
        <v>631</v>
      </c>
    </row>
    <row r="87" spans="2:6" x14ac:dyDescent="0.35">
      <c r="B87" s="101" t="s">
        <v>349</v>
      </c>
      <c r="C87" s="217" t="s">
        <v>547</v>
      </c>
      <c r="D87" s="83" t="s">
        <v>244</v>
      </c>
      <c r="E87" s="98" t="s">
        <v>216</v>
      </c>
      <c r="F87" s="99" t="s">
        <v>569</v>
      </c>
    </row>
    <row r="88" spans="2:6" x14ac:dyDescent="0.35">
      <c r="B88" s="101" t="s">
        <v>564</v>
      </c>
      <c r="C88" s="97" t="s">
        <v>548</v>
      </c>
      <c r="D88" s="83" t="s">
        <v>244</v>
      </c>
      <c r="E88" s="98" t="s">
        <v>216</v>
      </c>
      <c r="F88" s="99" t="s">
        <v>570</v>
      </c>
    </row>
    <row r="89" spans="2:6" x14ac:dyDescent="0.35">
      <c r="B89" s="101" t="s">
        <v>565</v>
      </c>
      <c r="C89" s="97" t="s">
        <v>549</v>
      </c>
      <c r="D89" s="83" t="s">
        <v>244</v>
      </c>
      <c r="E89" s="98" t="s">
        <v>216</v>
      </c>
      <c r="F89" s="99" t="s">
        <v>571</v>
      </c>
    </row>
    <row r="90" spans="2:6" x14ac:dyDescent="0.35">
      <c r="B90" s="101" t="s">
        <v>362</v>
      </c>
      <c r="C90" s="97" t="s">
        <v>550</v>
      </c>
      <c r="D90" s="83" t="s">
        <v>244</v>
      </c>
      <c r="E90" s="98" t="s">
        <v>216</v>
      </c>
      <c r="F90" s="99" t="s">
        <v>572</v>
      </c>
    </row>
    <row r="91" spans="2:6" x14ac:dyDescent="0.35">
      <c r="B91" s="101" t="s">
        <v>363</v>
      </c>
      <c r="C91" s="97" t="s">
        <v>552</v>
      </c>
      <c r="D91" s="83" t="s">
        <v>244</v>
      </c>
      <c r="E91" s="98" t="s">
        <v>216</v>
      </c>
      <c r="F91" s="99" t="s">
        <v>573</v>
      </c>
    </row>
    <row r="92" spans="2:6" x14ac:dyDescent="0.35">
      <c r="B92" s="101" t="s">
        <v>566</v>
      </c>
      <c r="C92" s="97" t="s">
        <v>553</v>
      </c>
      <c r="D92" s="83" t="s">
        <v>244</v>
      </c>
      <c r="E92" s="98" t="s">
        <v>216</v>
      </c>
      <c r="F92" s="99" t="s">
        <v>574</v>
      </c>
    </row>
    <row r="93" spans="2:6" x14ac:dyDescent="0.35">
      <c r="B93" s="101" t="s">
        <v>567</v>
      </c>
      <c r="C93" s="97" t="s">
        <v>554</v>
      </c>
      <c r="D93" s="83" t="s">
        <v>244</v>
      </c>
      <c r="E93" s="98" t="s">
        <v>216</v>
      </c>
      <c r="F93" s="99" t="s">
        <v>575</v>
      </c>
    </row>
    <row r="94" spans="2:6" x14ac:dyDescent="0.35">
      <c r="B94" s="101" t="s">
        <v>365</v>
      </c>
      <c r="C94" s="97" t="s">
        <v>555</v>
      </c>
      <c r="D94" s="83" t="s">
        <v>244</v>
      </c>
      <c r="E94" s="98" t="s">
        <v>216</v>
      </c>
      <c r="F94" s="99" t="s">
        <v>576</v>
      </c>
    </row>
    <row r="95" spans="2:6" x14ac:dyDescent="0.35">
      <c r="B95" s="101" t="s">
        <v>172</v>
      </c>
      <c r="C95" s="97" t="s">
        <v>556</v>
      </c>
      <c r="D95" s="83" t="s">
        <v>244</v>
      </c>
      <c r="E95" s="98" t="s">
        <v>216</v>
      </c>
      <c r="F95" s="99" t="s">
        <v>577</v>
      </c>
    </row>
    <row r="96" spans="2:6" x14ac:dyDescent="0.35">
      <c r="B96" s="101" t="s">
        <v>470</v>
      </c>
      <c r="C96" s="97" t="s">
        <v>557</v>
      </c>
      <c r="D96" s="83" t="s">
        <v>244</v>
      </c>
      <c r="E96" s="98" t="s">
        <v>216</v>
      </c>
      <c r="F96" s="99" t="s">
        <v>578</v>
      </c>
    </row>
    <row r="97" spans="2:6" x14ac:dyDescent="0.35">
      <c r="B97" s="101" t="s">
        <v>551</v>
      </c>
      <c r="C97" s="97" t="s">
        <v>558</v>
      </c>
      <c r="D97" s="83" t="s">
        <v>244</v>
      </c>
      <c r="E97" s="98" t="s">
        <v>216</v>
      </c>
      <c r="F97" s="99" t="s">
        <v>579</v>
      </c>
    </row>
    <row r="98" spans="2:6" x14ac:dyDescent="0.35">
      <c r="B98" s="101" t="s">
        <v>367</v>
      </c>
      <c r="C98" s="97" t="s">
        <v>559</v>
      </c>
      <c r="D98" s="83" t="s">
        <v>244</v>
      </c>
      <c r="E98" s="98" t="s">
        <v>216</v>
      </c>
      <c r="F98" s="99" t="s">
        <v>580</v>
      </c>
    </row>
    <row r="99" spans="2:6" x14ac:dyDescent="0.35">
      <c r="B99" s="101" t="s">
        <v>368</v>
      </c>
      <c r="C99" s="97" t="s">
        <v>560</v>
      </c>
      <c r="D99" s="83" t="s">
        <v>244</v>
      </c>
      <c r="E99" s="98" t="s">
        <v>216</v>
      </c>
      <c r="F99" s="99" t="s">
        <v>581</v>
      </c>
    </row>
    <row r="100" spans="2:6" x14ac:dyDescent="0.35">
      <c r="B100" s="101" t="s">
        <v>568</v>
      </c>
      <c r="C100" s="97" t="s">
        <v>561</v>
      </c>
      <c r="D100" s="83" t="s">
        <v>244</v>
      </c>
      <c r="E100" s="98" t="s">
        <v>216</v>
      </c>
      <c r="F100" s="99" t="s">
        <v>582</v>
      </c>
    </row>
    <row r="101" spans="2:6" x14ac:dyDescent="0.35">
      <c r="B101" s="101" t="s">
        <v>173</v>
      </c>
      <c r="C101" s="97" t="s">
        <v>562</v>
      </c>
      <c r="D101" s="83" t="s">
        <v>244</v>
      </c>
      <c r="E101" s="98" t="s">
        <v>216</v>
      </c>
      <c r="F101" s="99" t="s">
        <v>583</v>
      </c>
    </row>
    <row r="102" spans="2:6" ht="15" thickBot="1" x14ac:dyDescent="0.4">
      <c r="B102" s="230" t="s">
        <v>175</v>
      </c>
      <c r="C102" s="105" t="s">
        <v>563</v>
      </c>
      <c r="D102" s="82" t="s">
        <v>244</v>
      </c>
      <c r="E102" s="106" t="s">
        <v>216</v>
      </c>
      <c r="F102" s="96" t="s">
        <v>584</v>
      </c>
    </row>
  </sheetData>
  <mergeCells count="2">
    <mergeCell ref="B2:F2"/>
    <mergeCell ref="C3:F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C36F-6354-4143-9CDF-054AB45A6877}">
  <dimension ref="B1:F44"/>
  <sheetViews>
    <sheetView workbookViewId="0">
      <selection activeCell="F17" sqref="F17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28.54296875" customWidth="1"/>
  </cols>
  <sheetData>
    <row r="1" spans="2:6" ht="15" thickBot="1" x14ac:dyDescent="0.4"/>
    <row r="2" spans="2:6" ht="15" thickBot="1" x14ac:dyDescent="0.4">
      <c r="B2" s="265" t="s">
        <v>98</v>
      </c>
      <c r="C2" s="266"/>
      <c r="D2" s="266"/>
      <c r="E2" s="266"/>
      <c r="F2" s="267"/>
    </row>
    <row r="3" spans="2:6" ht="15" thickBot="1" x14ac:dyDescent="0.4">
      <c r="B3" s="32" t="s">
        <v>53</v>
      </c>
      <c r="C3" s="268" t="s">
        <v>99</v>
      </c>
      <c r="D3" s="268"/>
      <c r="E3" s="268"/>
      <c r="F3" s="269"/>
    </row>
    <row r="4" spans="2:6" ht="15" thickBot="1" x14ac:dyDescent="0.4">
      <c r="B4" s="28" t="s">
        <v>54</v>
      </c>
      <c r="C4" s="33" t="s">
        <v>55</v>
      </c>
      <c r="D4" s="34" t="s">
        <v>56</v>
      </c>
      <c r="E4" s="33" t="s">
        <v>57</v>
      </c>
      <c r="F4" s="57" t="s">
        <v>58</v>
      </c>
    </row>
    <row r="5" spans="2:6" x14ac:dyDescent="0.35">
      <c r="B5" s="72" t="s">
        <v>100</v>
      </c>
      <c r="C5" s="63" t="s">
        <v>101</v>
      </c>
      <c r="D5" s="64" t="s">
        <v>56</v>
      </c>
      <c r="E5" s="67" t="s">
        <v>102</v>
      </c>
      <c r="F5" s="56" t="s">
        <v>103</v>
      </c>
    </row>
    <row r="6" spans="2:6" x14ac:dyDescent="0.35">
      <c r="B6" s="30"/>
      <c r="C6" s="58"/>
      <c r="D6" s="65"/>
      <c r="E6" s="47" t="s">
        <v>89</v>
      </c>
      <c r="F6" s="56" t="s">
        <v>104</v>
      </c>
    </row>
    <row r="7" spans="2:6" x14ac:dyDescent="0.35">
      <c r="B7" s="73"/>
      <c r="C7" s="62"/>
      <c r="D7" s="66"/>
      <c r="E7" s="48" t="s">
        <v>105</v>
      </c>
      <c r="F7" s="56" t="s">
        <v>106</v>
      </c>
    </row>
    <row r="8" spans="2:6" x14ac:dyDescent="0.35">
      <c r="B8" s="274" t="s">
        <v>107</v>
      </c>
      <c r="C8" s="275"/>
      <c r="D8" s="275"/>
      <c r="E8" s="275"/>
      <c r="F8" s="276"/>
    </row>
    <row r="9" spans="2:6" x14ac:dyDescent="0.35">
      <c r="B9" s="277"/>
      <c r="C9" s="278"/>
      <c r="D9" s="278"/>
      <c r="E9" s="278"/>
      <c r="F9" s="279"/>
    </row>
    <row r="10" spans="2:6" x14ac:dyDescent="0.35">
      <c r="B10" s="280"/>
      <c r="C10" s="281"/>
      <c r="D10" s="281"/>
      <c r="E10" s="281"/>
      <c r="F10" s="282"/>
    </row>
    <row r="11" spans="2:6" x14ac:dyDescent="0.35">
      <c r="B11" s="46" t="s">
        <v>108</v>
      </c>
      <c r="C11" s="68" t="s">
        <v>109</v>
      </c>
      <c r="D11" s="24" t="s">
        <v>56</v>
      </c>
      <c r="E11" s="49" t="s">
        <v>102</v>
      </c>
      <c r="F11" s="56" t="s">
        <v>103</v>
      </c>
    </row>
    <row r="12" spans="2:6" x14ac:dyDescent="0.35">
      <c r="B12" s="30"/>
      <c r="C12" s="69"/>
      <c r="D12" s="65"/>
      <c r="E12" s="47" t="s">
        <v>89</v>
      </c>
      <c r="F12" s="56" t="s">
        <v>104</v>
      </c>
    </row>
    <row r="13" spans="2:6" ht="15" thickBot="1" x14ac:dyDescent="0.4">
      <c r="B13" s="31"/>
      <c r="C13" s="70"/>
      <c r="D13" s="71"/>
      <c r="E13" s="50" t="s">
        <v>105</v>
      </c>
      <c r="F13" s="61" t="s">
        <v>106</v>
      </c>
    </row>
    <row r="14" spans="2:6" x14ac:dyDescent="0.35">
      <c r="E14" s="15"/>
    </row>
    <row r="15" spans="2:6" x14ac:dyDescent="0.35">
      <c r="E15" s="15"/>
    </row>
    <row r="16" spans="2:6" x14ac:dyDescent="0.35">
      <c r="E16" s="15"/>
    </row>
    <row r="17" spans="5:5" x14ac:dyDescent="0.35">
      <c r="E17" s="15"/>
    </row>
    <row r="18" spans="5:5" x14ac:dyDescent="0.35">
      <c r="E18" s="15"/>
    </row>
    <row r="19" spans="5:5" x14ac:dyDescent="0.35">
      <c r="E19" s="15"/>
    </row>
    <row r="20" spans="5:5" x14ac:dyDescent="0.35">
      <c r="E20" s="15"/>
    </row>
    <row r="21" spans="5:5" x14ac:dyDescent="0.35">
      <c r="E21" s="15"/>
    </row>
    <row r="22" spans="5:5" x14ac:dyDescent="0.35">
      <c r="E22" s="15"/>
    </row>
    <row r="23" spans="5:5" x14ac:dyDescent="0.35">
      <c r="E23" s="15"/>
    </row>
    <row r="24" spans="5:5" x14ac:dyDescent="0.35">
      <c r="E24" s="15"/>
    </row>
    <row r="25" spans="5:5" x14ac:dyDescent="0.35">
      <c r="E25" s="15"/>
    </row>
    <row r="26" spans="5:5" x14ac:dyDescent="0.35">
      <c r="E26" s="15"/>
    </row>
    <row r="27" spans="5:5" x14ac:dyDescent="0.35">
      <c r="E27" s="15"/>
    </row>
    <row r="28" spans="5:5" x14ac:dyDescent="0.35">
      <c r="E28" s="15"/>
    </row>
    <row r="29" spans="5:5" x14ac:dyDescent="0.35">
      <c r="E29" s="15"/>
    </row>
    <row r="30" spans="5:5" x14ac:dyDescent="0.35">
      <c r="E30" s="15"/>
    </row>
    <row r="31" spans="5:5" x14ac:dyDescent="0.35">
      <c r="E31" s="15"/>
    </row>
    <row r="32" spans="5:5" x14ac:dyDescent="0.35">
      <c r="E32" s="15"/>
    </row>
    <row r="33" spans="5:5" x14ac:dyDescent="0.35">
      <c r="E33" s="15"/>
    </row>
    <row r="34" spans="5:5" x14ac:dyDescent="0.35">
      <c r="E34" s="15"/>
    </row>
    <row r="35" spans="5:5" x14ac:dyDescent="0.35">
      <c r="E35" s="15"/>
    </row>
    <row r="36" spans="5:5" x14ac:dyDescent="0.35">
      <c r="E36" s="15"/>
    </row>
    <row r="37" spans="5:5" x14ac:dyDescent="0.35">
      <c r="E37" s="15"/>
    </row>
    <row r="38" spans="5:5" x14ac:dyDescent="0.35">
      <c r="E38" s="15"/>
    </row>
    <row r="39" spans="5:5" x14ac:dyDescent="0.35">
      <c r="E39" s="15"/>
    </row>
    <row r="40" spans="5:5" x14ac:dyDescent="0.35">
      <c r="E40" s="15"/>
    </row>
    <row r="41" spans="5:5" x14ac:dyDescent="0.35">
      <c r="E41" s="15"/>
    </row>
    <row r="42" spans="5:5" x14ac:dyDescent="0.35">
      <c r="E42" s="15"/>
    </row>
    <row r="43" spans="5:5" x14ac:dyDescent="0.35">
      <c r="E43" s="15"/>
    </row>
    <row r="44" spans="5:5" x14ac:dyDescent="0.35">
      <c r="E44" s="15"/>
    </row>
  </sheetData>
  <mergeCells count="3">
    <mergeCell ref="B2:F2"/>
    <mergeCell ref="C3:F3"/>
    <mergeCell ref="B8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C124-71F0-4572-85CA-7A48FF5BEE12}">
  <dimension ref="B1:U38"/>
  <sheetViews>
    <sheetView workbookViewId="0">
      <selection activeCell="W25" sqref="W25"/>
    </sheetView>
  </sheetViews>
  <sheetFormatPr defaultRowHeight="14.5" x14ac:dyDescent="0.35"/>
  <cols>
    <col min="2" max="2" width="12.6328125" customWidth="1"/>
    <col min="3" max="18" width="2.90625" customWidth="1"/>
    <col min="19" max="19" width="39.54296875" customWidth="1"/>
    <col min="20" max="20" width="34.08984375" customWidth="1"/>
    <col min="21" max="21" width="18.453125" customWidth="1"/>
    <col min="22" max="36" width="2.90625" customWidth="1"/>
  </cols>
  <sheetData>
    <row r="1" spans="2:20" ht="23.75" customHeight="1" thickBot="1" x14ac:dyDescent="0.4"/>
    <row r="2" spans="2:20" ht="15" thickBot="1" x14ac:dyDescent="0.4">
      <c r="B2" s="286" t="s">
        <v>305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8"/>
    </row>
    <row r="3" spans="2:20" ht="15" thickBot="1" x14ac:dyDescent="0.4">
      <c r="B3" s="32" t="s">
        <v>5</v>
      </c>
      <c r="C3" s="283" t="s">
        <v>306</v>
      </c>
      <c r="D3" s="284"/>
      <c r="E3" s="284"/>
      <c r="F3" s="285"/>
      <c r="G3" s="284" t="s">
        <v>307</v>
      </c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130" t="s">
        <v>1</v>
      </c>
    </row>
    <row r="4" spans="2:20" x14ac:dyDescent="0.35">
      <c r="B4" s="131" t="s">
        <v>317</v>
      </c>
      <c r="C4" s="117">
        <v>0</v>
      </c>
      <c r="D4" s="118">
        <v>0</v>
      </c>
      <c r="E4" s="118">
        <v>0</v>
      </c>
      <c r="F4" s="121">
        <v>0</v>
      </c>
      <c r="G4" s="120" t="s">
        <v>324</v>
      </c>
      <c r="H4" s="115" t="s">
        <v>324</v>
      </c>
      <c r="I4" s="115" t="s">
        <v>324</v>
      </c>
      <c r="J4" s="115" t="s">
        <v>324</v>
      </c>
      <c r="K4" s="115" t="s">
        <v>324</v>
      </c>
      <c r="L4" s="115" t="s">
        <v>324</v>
      </c>
      <c r="M4" s="115" t="s">
        <v>324</v>
      </c>
      <c r="N4" s="115" t="s">
        <v>324</v>
      </c>
      <c r="O4" s="115" t="s">
        <v>324</v>
      </c>
      <c r="P4" s="115" t="s">
        <v>324</v>
      </c>
      <c r="Q4" s="115" t="s">
        <v>324</v>
      </c>
      <c r="R4" s="126" t="s">
        <v>324</v>
      </c>
      <c r="S4" s="60" t="s">
        <v>325</v>
      </c>
    </row>
    <row r="5" spans="2:20" x14ac:dyDescent="0.35">
      <c r="B5" s="131" t="s">
        <v>318</v>
      </c>
      <c r="C5" s="117">
        <v>0</v>
      </c>
      <c r="D5" s="118">
        <v>0</v>
      </c>
      <c r="E5" s="118">
        <v>0</v>
      </c>
      <c r="F5" s="121">
        <v>1</v>
      </c>
      <c r="G5" s="120" t="s">
        <v>324</v>
      </c>
      <c r="H5" s="115" t="s">
        <v>324</v>
      </c>
      <c r="I5" s="115" t="s">
        <v>324</v>
      </c>
      <c r="J5" s="115" t="s">
        <v>324</v>
      </c>
      <c r="K5" s="115" t="s">
        <v>324</v>
      </c>
      <c r="L5" s="115" t="s">
        <v>324</v>
      </c>
      <c r="M5" s="115" t="s">
        <v>324</v>
      </c>
      <c r="N5" s="115" t="s">
        <v>324</v>
      </c>
      <c r="O5" s="115" t="s">
        <v>324</v>
      </c>
      <c r="P5" s="115" t="s">
        <v>324</v>
      </c>
      <c r="Q5" s="115" t="s">
        <v>324</v>
      </c>
      <c r="R5" s="126" t="s">
        <v>324</v>
      </c>
      <c r="S5" s="60" t="s">
        <v>326</v>
      </c>
    </row>
    <row r="6" spans="2:20" x14ac:dyDescent="0.35">
      <c r="B6" s="131" t="s">
        <v>313</v>
      </c>
      <c r="C6" s="117">
        <v>0</v>
      </c>
      <c r="D6" s="118">
        <v>0</v>
      </c>
      <c r="E6" s="118">
        <v>1</v>
      </c>
      <c r="F6" s="121">
        <v>0</v>
      </c>
      <c r="G6" s="120" t="s">
        <v>310</v>
      </c>
      <c r="H6" s="115" t="s">
        <v>310</v>
      </c>
      <c r="I6" s="115" t="s">
        <v>310</v>
      </c>
      <c r="J6" s="115" t="s">
        <v>310</v>
      </c>
      <c r="K6" s="115" t="s">
        <v>310</v>
      </c>
      <c r="L6" s="115" t="s">
        <v>310</v>
      </c>
      <c r="M6" s="115" t="s">
        <v>310</v>
      </c>
      <c r="N6" s="115" t="s">
        <v>310</v>
      </c>
      <c r="O6" s="115" t="s">
        <v>310</v>
      </c>
      <c r="P6" s="115" t="s">
        <v>310</v>
      </c>
      <c r="Q6" s="115" t="s">
        <v>310</v>
      </c>
      <c r="R6" s="126" t="s">
        <v>310</v>
      </c>
      <c r="S6" s="128" t="s">
        <v>322</v>
      </c>
    </row>
    <row r="7" spans="2:20" x14ac:dyDescent="0.35">
      <c r="B7" s="131" t="s">
        <v>314</v>
      </c>
      <c r="C7" s="117">
        <v>0</v>
      </c>
      <c r="D7" s="118">
        <v>0</v>
      </c>
      <c r="E7" s="118">
        <v>1</v>
      </c>
      <c r="F7" s="121">
        <v>1</v>
      </c>
      <c r="G7" s="120" t="s">
        <v>309</v>
      </c>
      <c r="H7" s="115" t="s">
        <v>309</v>
      </c>
      <c r="I7" s="115" t="s">
        <v>309</v>
      </c>
      <c r="J7" s="115" t="s">
        <v>309</v>
      </c>
      <c r="K7" s="115" t="s">
        <v>309</v>
      </c>
      <c r="L7" s="115" t="s">
        <v>309</v>
      </c>
      <c r="M7" s="115" t="s">
        <v>309</v>
      </c>
      <c r="N7" s="115" t="s">
        <v>309</v>
      </c>
      <c r="O7" s="115" t="s">
        <v>309</v>
      </c>
      <c r="P7" s="115" t="s">
        <v>309</v>
      </c>
      <c r="Q7" s="115" t="s">
        <v>309</v>
      </c>
      <c r="R7" s="126" t="s">
        <v>309</v>
      </c>
      <c r="S7" s="128" t="s">
        <v>323</v>
      </c>
    </row>
    <row r="8" spans="2:20" x14ac:dyDescent="0.35">
      <c r="B8" s="131" t="s">
        <v>315</v>
      </c>
      <c r="C8" s="117">
        <v>0</v>
      </c>
      <c r="D8" s="118">
        <v>1</v>
      </c>
      <c r="E8" s="118">
        <v>0</v>
      </c>
      <c r="F8" s="121">
        <v>0</v>
      </c>
      <c r="G8" s="120" t="s">
        <v>308</v>
      </c>
      <c r="H8" s="115" t="s">
        <v>308</v>
      </c>
      <c r="I8" s="115" t="s">
        <v>308</v>
      </c>
      <c r="J8" s="115" t="s">
        <v>308</v>
      </c>
      <c r="K8" s="115" t="s">
        <v>308</v>
      </c>
      <c r="L8" s="115" t="s">
        <v>308</v>
      </c>
      <c r="M8" s="115" t="s">
        <v>308</v>
      </c>
      <c r="N8" s="115" t="s">
        <v>308</v>
      </c>
      <c r="O8" s="115" t="s">
        <v>308</v>
      </c>
      <c r="P8" s="115" t="s">
        <v>308</v>
      </c>
      <c r="Q8" s="115" t="s">
        <v>308</v>
      </c>
      <c r="R8" s="126" t="s">
        <v>308</v>
      </c>
      <c r="S8" s="128" t="s">
        <v>405</v>
      </c>
    </row>
    <row r="9" spans="2:20" x14ac:dyDescent="0.35">
      <c r="B9" s="131" t="s">
        <v>316</v>
      </c>
      <c r="C9" s="117">
        <v>0</v>
      </c>
      <c r="D9" s="118">
        <v>1</v>
      </c>
      <c r="E9" s="118">
        <v>0</v>
      </c>
      <c r="F9" s="121">
        <v>1</v>
      </c>
      <c r="G9" s="120" t="s">
        <v>308</v>
      </c>
      <c r="H9" s="115" t="s">
        <v>308</v>
      </c>
      <c r="I9" s="115" t="s">
        <v>308</v>
      </c>
      <c r="J9" s="115" t="s">
        <v>308</v>
      </c>
      <c r="K9" s="115" t="s">
        <v>308</v>
      </c>
      <c r="L9" s="115" t="s">
        <v>308</v>
      </c>
      <c r="M9" s="115" t="s">
        <v>308</v>
      </c>
      <c r="N9" s="115" t="s">
        <v>308</v>
      </c>
      <c r="O9" s="115" t="s">
        <v>308</v>
      </c>
      <c r="P9" s="115" t="s">
        <v>308</v>
      </c>
      <c r="Q9" s="115" t="s">
        <v>308</v>
      </c>
      <c r="R9" s="126" t="s">
        <v>308</v>
      </c>
      <c r="S9" s="128" t="s">
        <v>404</v>
      </c>
    </row>
    <row r="10" spans="2:20" x14ac:dyDescent="0.35">
      <c r="B10" s="131" t="s">
        <v>311</v>
      </c>
      <c r="C10" s="117">
        <v>0</v>
      </c>
      <c r="D10" s="118">
        <v>1</v>
      </c>
      <c r="E10" s="118">
        <v>1</v>
      </c>
      <c r="F10" s="121">
        <v>0</v>
      </c>
      <c r="G10" s="119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25">
        <v>0</v>
      </c>
      <c r="S10" s="60" t="s">
        <v>320</v>
      </c>
    </row>
    <row r="11" spans="2:20" x14ac:dyDescent="0.35">
      <c r="B11" s="131" t="s">
        <v>312</v>
      </c>
      <c r="C11" s="117">
        <v>0</v>
      </c>
      <c r="D11" s="118">
        <v>1</v>
      </c>
      <c r="E11" s="118">
        <v>1</v>
      </c>
      <c r="F11" s="121">
        <v>1</v>
      </c>
      <c r="G11" s="120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26">
        <v>0</v>
      </c>
      <c r="S11" s="60" t="s">
        <v>321</v>
      </c>
    </row>
    <row r="12" spans="2:20" ht="15" thickBot="1" x14ac:dyDescent="0.4">
      <c r="B12" s="132" t="s">
        <v>319</v>
      </c>
      <c r="C12" s="124">
        <v>1</v>
      </c>
      <c r="D12" s="123" t="s">
        <v>308</v>
      </c>
      <c r="E12" s="122" t="s">
        <v>308</v>
      </c>
      <c r="F12" s="122" t="s">
        <v>308</v>
      </c>
      <c r="G12" s="116" t="s">
        <v>308</v>
      </c>
      <c r="H12" s="116" t="s">
        <v>308</v>
      </c>
      <c r="I12" s="116" t="s">
        <v>308</v>
      </c>
      <c r="J12" s="116" t="s">
        <v>308</v>
      </c>
      <c r="K12" s="116" t="s">
        <v>308</v>
      </c>
      <c r="L12" s="116" t="s">
        <v>308</v>
      </c>
      <c r="M12" s="116" t="s">
        <v>308</v>
      </c>
      <c r="N12" s="116" t="s">
        <v>308</v>
      </c>
      <c r="O12" s="116" t="s">
        <v>308</v>
      </c>
      <c r="P12" s="116" t="s">
        <v>308</v>
      </c>
      <c r="Q12" s="116" t="s">
        <v>308</v>
      </c>
      <c r="R12" s="127" t="s">
        <v>308</v>
      </c>
      <c r="S12" s="129" t="s">
        <v>403</v>
      </c>
    </row>
    <row r="15" spans="2:20" ht="15" thickBot="1" x14ac:dyDescent="0.4"/>
    <row r="16" spans="2:20" ht="15" thickBot="1" x14ac:dyDescent="0.4">
      <c r="B16" s="291" t="s">
        <v>401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3"/>
      <c r="T16" s="58"/>
    </row>
    <row r="17" spans="2:20" ht="15" thickBot="1" x14ac:dyDescent="0.4"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 spans="2:20" ht="15" thickBot="1" x14ac:dyDescent="0.4">
      <c r="B18" s="77" t="s">
        <v>402</v>
      </c>
      <c r="C18" s="190">
        <v>0</v>
      </c>
      <c r="D18" s="190">
        <v>1</v>
      </c>
      <c r="E18" s="190">
        <v>1</v>
      </c>
      <c r="F18" s="190">
        <v>0</v>
      </c>
      <c r="G18" s="191">
        <v>0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2">
        <v>0</v>
      </c>
      <c r="S18" s="188" t="s">
        <v>320</v>
      </c>
      <c r="T18" s="209" t="s">
        <v>438</v>
      </c>
    </row>
    <row r="19" spans="2:20" x14ac:dyDescent="0.35">
      <c r="B19" s="41" t="s">
        <v>406</v>
      </c>
      <c r="C19" s="193">
        <v>0</v>
      </c>
      <c r="D19" s="193">
        <v>0</v>
      </c>
      <c r="E19" s="193">
        <v>0</v>
      </c>
      <c r="F19" s="193">
        <v>0</v>
      </c>
      <c r="G19" s="194">
        <v>0</v>
      </c>
      <c r="H19" s="194">
        <v>0</v>
      </c>
      <c r="I19" s="194">
        <v>0</v>
      </c>
      <c r="J19" s="194">
        <v>0</v>
      </c>
      <c r="K19" s="194">
        <v>0</v>
      </c>
      <c r="L19" s="194">
        <v>0</v>
      </c>
      <c r="M19" s="194">
        <v>0</v>
      </c>
      <c r="N19" s="194">
        <v>0</v>
      </c>
      <c r="O19" s="194">
        <v>0</v>
      </c>
      <c r="P19" s="194">
        <v>1</v>
      </c>
      <c r="Q19" s="194">
        <v>0</v>
      </c>
      <c r="R19" s="195">
        <v>1</v>
      </c>
      <c r="S19" s="188" t="s">
        <v>428</v>
      </c>
      <c r="T19" s="294" t="s">
        <v>439</v>
      </c>
    </row>
    <row r="20" spans="2:20" x14ac:dyDescent="0.35">
      <c r="B20" s="41" t="s">
        <v>407</v>
      </c>
      <c r="C20" s="193">
        <v>0</v>
      </c>
      <c r="D20" s="193">
        <v>1</v>
      </c>
      <c r="E20" s="193">
        <v>0</v>
      </c>
      <c r="F20" s="193">
        <v>0</v>
      </c>
      <c r="G20" s="194">
        <v>0</v>
      </c>
      <c r="H20" s="194">
        <v>0</v>
      </c>
      <c r="I20" s="194">
        <v>0</v>
      </c>
      <c r="J20" s="194">
        <v>0</v>
      </c>
      <c r="K20" s="194">
        <v>0</v>
      </c>
      <c r="L20" s="194">
        <v>0</v>
      </c>
      <c r="M20" s="194">
        <v>0</v>
      </c>
      <c r="N20" s="194">
        <v>1</v>
      </c>
      <c r="O20" s="194">
        <v>0</v>
      </c>
      <c r="P20" s="194">
        <v>0</v>
      </c>
      <c r="Q20" s="194">
        <v>0</v>
      </c>
      <c r="R20" s="195">
        <v>0</v>
      </c>
      <c r="S20" s="200" t="s">
        <v>429</v>
      </c>
      <c r="T20" s="295"/>
    </row>
    <row r="21" spans="2:20" x14ac:dyDescent="0.35">
      <c r="B21" s="41" t="s">
        <v>408</v>
      </c>
      <c r="C21" s="193">
        <v>0</v>
      </c>
      <c r="D21" s="193">
        <v>0</v>
      </c>
      <c r="E21" s="193">
        <v>0</v>
      </c>
      <c r="F21" s="193">
        <v>1</v>
      </c>
      <c r="G21" s="194">
        <v>0</v>
      </c>
      <c r="H21" s="194">
        <v>0</v>
      </c>
      <c r="I21" s="194">
        <v>0</v>
      </c>
      <c r="J21" s="194">
        <v>0</v>
      </c>
      <c r="K21" s="194">
        <v>0</v>
      </c>
      <c r="L21" s="194">
        <v>0</v>
      </c>
      <c r="M21" s="194">
        <v>0</v>
      </c>
      <c r="N21" s="194">
        <v>0</v>
      </c>
      <c r="O21" s="194">
        <v>0</v>
      </c>
      <c r="P21" s="194">
        <v>1</v>
      </c>
      <c r="Q21" s="194">
        <v>0</v>
      </c>
      <c r="R21" s="195">
        <v>1</v>
      </c>
      <c r="S21" s="188" t="s">
        <v>430</v>
      </c>
      <c r="T21" s="295"/>
    </row>
    <row r="22" spans="2:20" ht="15" thickBot="1" x14ac:dyDescent="0.4">
      <c r="B22" s="41" t="s">
        <v>409</v>
      </c>
      <c r="C22" s="193">
        <v>0</v>
      </c>
      <c r="D22" s="193">
        <v>1</v>
      </c>
      <c r="E22" s="193">
        <v>0</v>
      </c>
      <c r="F22" s="193">
        <v>0</v>
      </c>
      <c r="G22" s="194">
        <v>0</v>
      </c>
      <c r="H22" s="194">
        <v>0</v>
      </c>
      <c r="I22" s="194">
        <v>0</v>
      </c>
      <c r="J22" s="194">
        <v>0</v>
      </c>
      <c r="K22" s="194">
        <v>0</v>
      </c>
      <c r="L22" s="194">
        <v>0</v>
      </c>
      <c r="M22" s="194">
        <v>1</v>
      </c>
      <c r="N22" s="194">
        <v>0</v>
      </c>
      <c r="O22" s="194">
        <v>0</v>
      </c>
      <c r="P22" s="194">
        <v>0</v>
      </c>
      <c r="Q22" s="194">
        <v>0</v>
      </c>
      <c r="R22" s="195">
        <v>0</v>
      </c>
      <c r="S22" s="200" t="s">
        <v>431</v>
      </c>
      <c r="T22" s="296"/>
    </row>
    <row r="23" spans="2:20" x14ac:dyDescent="0.35">
      <c r="B23" s="41" t="s">
        <v>420</v>
      </c>
      <c r="C23" s="193">
        <v>0</v>
      </c>
      <c r="D23" s="193">
        <v>0</v>
      </c>
      <c r="E23" s="193">
        <v>1</v>
      </c>
      <c r="F23" s="193">
        <v>0</v>
      </c>
      <c r="G23" s="194">
        <v>0</v>
      </c>
      <c r="H23" s="194">
        <v>0</v>
      </c>
      <c r="I23" s="194">
        <v>0</v>
      </c>
      <c r="J23" s="194">
        <v>1</v>
      </c>
      <c r="K23" s="194">
        <v>0</v>
      </c>
      <c r="L23" s="194">
        <v>0</v>
      </c>
      <c r="M23" s="194">
        <v>0</v>
      </c>
      <c r="N23" s="194">
        <v>0</v>
      </c>
      <c r="O23" s="194">
        <v>0</v>
      </c>
      <c r="P23" s="194">
        <v>0</v>
      </c>
      <c r="Q23" s="194">
        <v>0</v>
      </c>
      <c r="R23" s="195">
        <v>0</v>
      </c>
      <c r="S23" s="199" t="s">
        <v>432</v>
      </c>
      <c r="T23" s="294" t="s">
        <v>440</v>
      </c>
    </row>
    <row r="24" spans="2:20" ht="15" thickBot="1" x14ac:dyDescent="0.4">
      <c r="B24" s="41" t="s">
        <v>421</v>
      </c>
      <c r="C24" s="193">
        <v>0</v>
      </c>
      <c r="D24" s="193">
        <v>1</v>
      </c>
      <c r="E24" s="193">
        <v>1</v>
      </c>
      <c r="F24" s="193">
        <v>1</v>
      </c>
      <c r="G24" s="194">
        <v>0</v>
      </c>
      <c r="H24" s="194">
        <v>0</v>
      </c>
      <c r="I24" s="194">
        <v>0</v>
      </c>
      <c r="J24" s="194">
        <v>0</v>
      </c>
      <c r="K24" s="194">
        <v>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  <c r="Q24" s="194">
        <v>0</v>
      </c>
      <c r="R24" s="195">
        <v>0</v>
      </c>
      <c r="S24" s="188" t="s">
        <v>410</v>
      </c>
      <c r="T24" s="296"/>
    </row>
    <row r="25" spans="2:20" x14ac:dyDescent="0.35">
      <c r="B25" s="41" t="s">
        <v>422</v>
      </c>
      <c r="C25" s="193">
        <v>0</v>
      </c>
      <c r="D25" s="193">
        <v>0</v>
      </c>
      <c r="E25" s="193">
        <v>0</v>
      </c>
      <c r="F25" s="193">
        <v>1</v>
      </c>
      <c r="G25" s="194">
        <v>0</v>
      </c>
      <c r="H25" s="194">
        <v>0</v>
      </c>
      <c r="I25" s="194">
        <v>0</v>
      </c>
      <c r="J25" s="194">
        <v>0</v>
      </c>
      <c r="K25" s="194">
        <v>0</v>
      </c>
      <c r="L25" s="194">
        <v>0</v>
      </c>
      <c r="M25" s="194">
        <v>0</v>
      </c>
      <c r="N25" s="194">
        <v>0</v>
      </c>
      <c r="O25" s="194">
        <v>0</v>
      </c>
      <c r="P25" s="194">
        <v>1</v>
      </c>
      <c r="Q25" s="194">
        <v>0</v>
      </c>
      <c r="R25" s="195">
        <v>1</v>
      </c>
      <c r="S25" s="188" t="s">
        <v>433</v>
      </c>
      <c r="T25" s="297" t="s">
        <v>441</v>
      </c>
    </row>
    <row r="26" spans="2:20" x14ac:dyDescent="0.35">
      <c r="B26" s="41" t="s">
        <v>423</v>
      </c>
      <c r="C26" s="193">
        <v>0</v>
      </c>
      <c r="D26" s="193">
        <v>1</v>
      </c>
      <c r="E26" s="193">
        <v>0</v>
      </c>
      <c r="F26" s="193">
        <v>0</v>
      </c>
      <c r="G26" s="194">
        <v>0</v>
      </c>
      <c r="H26" s="194">
        <v>0</v>
      </c>
      <c r="I26" s="194">
        <v>0</v>
      </c>
      <c r="J26" s="194">
        <v>0</v>
      </c>
      <c r="K26" s="194">
        <v>0</v>
      </c>
      <c r="L26" s="194">
        <v>0</v>
      </c>
      <c r="M26" s="194">
        <v>1</v>
      </c>
      <c r="N26" s="194">
        <v>1</v>
      </c>
      <c r="O26" s="194">
        <v>0</v>
      </c>
      <c r="P26" s="194">
        <v>0</v>
      </c>
      <c r="Q26" s="194">
        <v>0</v>
      </c>
      <c r="R26" s="195">
        <v>0</v>
      </c>
      <c r="S26" s="200" t="s">
        <v>434</v>
      </c>
      <c r="T26" s="295"/>
    </row>
    <row r="27" spans="2:20" ht="15" thickBot="1" x14ac:dyDescent="0.4">
      <c r="B27" s="41" t="s">
        <v>424</v>
      </c>
      <c r="C27" s="193">
        <v>0</v>
      </c>
      <c r="D27" s="193">
        <v>1</v>
      </c>
      <c r="E27" s="193">
        <v>0</v>
      </c>
      <c r="F27" s="193">
        <v>1</v>
      </c>
      <c r="G27" s="194">
        <v>0</v>
      </c>
      <c r="H27" s="194">
        <v>0</v>
      </c>
      <c r="I27" s="194">
        <v>0</v>
      </c>
      <c r="J27" s="194">
        <v>1</v>
      </c>
      <c r="K27" s="194">
        <v>0</v>
      </c>
      <c r="L27" s="194">
        <v>0</v>
      </c>
      <c r="M27" s="194">
        <v>0</v>
      </c>
      <c r="N27" s="194">
        <v>0</v>
      </c>
      <c r="O27" s="194">
        <v>0</v>
      </c>
      <c r="P27" s="194">
        <v>0</v>
      </c>
      <c r="Q27" s="194">
        <v>0</v>
      </c>
      <c r="R27" s="195">
        <v>0</v>
      </c>
      <c r="S27" s="201" t="s">
        <v>435</v>
      </c>
      <c r="T27" s="296"/>
    </row>
    <row r="28" spans="2:20" x14ac:dyDescent="0.35">
      <c r="B28" s="41" t="s">
        <v>425</v>
      </c>
      <c r="C28" s="193">
        <v>0</v>
      </c>
      <c r="D28" s="193">
        <v>0</v>
      </c>
      <c r="E28" s="193">
        <v>1</v>
      </c>
      <c r="F28" s="193">
        <v>0</v>
      </c>
      <c r="G28" s="194">
        <v>0</v>
      </c>
      <c r="H28" s="194">
        <v>0</v>
      </c>
      <c r="I28" s="194">
        <v>0</v>
      </c>
      <c r="J28" s="194">
        <v>1</v>
      </c>
      <c r="K28" s="194">
        <v>0</v>
      </c>
      <c r="L28" s="194">
        <v>0</v>
      </c>
      <c r="M28" s="194">
        <v>1</v>
      </c>
      <c r="N28" s="194">
        <v>0</v>
      </c>
      <c r="O28" s="194">
        <v>0</v>
      </c>
      <c r="P28" s="194">
        <v>0</v>
      </c>
      <c r="Q28" s="194">
        <v>0</v>
      </c>
      <c r="R28" s="195">
        <v>0</v>
      </c>
      <c r="S28" s="199" t="s">
        <v>436</v>
      </c>
      <c r="T28" s="298" t="s">
        <v>442</v>
      </c>
    </row>
    <row r="29" spans="2:20" ht="15" thickBot="1" x14ac:dyDescent="0.4">
      <c r="B29" s="41" t="s">
        <v>426</v>
      </c>
      <c r="C29" s="193">
        <v>0</v>
      </c>
      <c r="D29" s="193">
        <v>1</v>
      </c>
      <c r="E29" s="193">
        <v>1</v>
      </c>
      <c r="F29" s="193">
        <v>1</v>
      </c>
      <c r="G29" s="194">
        <v>0</v>
      </c>
      <c r="H29" s="194">
        <v>0</v>
      </c>
      <c r="I29" s="194">
        <v>0</v>
      </c>
      <c r="J29" s="194">
        <v>0</v>
      </c>
      <c r="K29" s="194">
        <v>0</v>
      </c>
      <c r="L29" s="194">
        <v>0</v>
      </c>
      <c r="M29" s="194">
        <v>0</v>
      </c>
      <c r="N29" s="194">
        <v>0</v>
      </c>
      <c r="O29" s="194">
        <v>0</v>
      </c>
      <c r="P29" s="194">
        <v>0</v>
      </c>
      <c r="Q29" s="194">
        <v>0</v>
      </c>
      <c r="R29" s="195">
        <v>0</v>
      </c>
      <c r="S29" s="188" t="s">
        <v>410</v>
      </c>
      <c r="T29" s="299"/>
    </row>
    <row r="30" spans="2:20" ht="15" thickBot="1" x14ac:dyDescent="0.4">
      <c r="B30" s="78" t="s">
        <v>427</v>
      </c>
      <c r="C30" s="198">
        <v>1</v>
      </c>
      <c r="D30" s="196">
        <v>0</v>
      </c>
      <c r="E30" s="196">
        <v>0</v>
      </c>
      <c r="F30" s="196">
        <v>0</v>
      </c>
      <c r="G30" s="196">
        <v>0</v>
      </c>
      <c r="H30" s="196">
        <v>0</v>
      </c>
      <c r="I30" s="196">
        <v>0</v>
      </c>
      <c r="J30" s="196">
        <v>0</v>
      </c>
      <c r="K30" s="196">
        <v>0</v>
      </c>
      <c r="L30" s="196">
        <v>0</v>
      </c>
      <c r="M30" s="196">
        <v>0</v>
      </c>
      <c r="N30" s="196">
        <v>0</v>
      </c>
      <c r="O30" s="196">
        <v>0</v>
      </c>
      <c r="P30" s="196">
        <v>0</v>
      </c>
      <c r="Q30" s="196">
        <v>0</v>
      </c>
      <c r="R30" s="197">
        <v>0</v>
      </c>
      <c r="S30" s="188" t="s">
        <v>437</v>
      </c>
      <c r="T30" s="209" t="s">
        <v>443</v>
      </c>
    </row>
    <row r="31" spans="2:20" x14ac:dyDescent="0.35">
      <c r="B31" s="189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5"/>
      <c r="S31" s="188"/>
      <c r="T31" s="58"/>
    </row>
    <row r="32" spans="2:20" ht="15" thickBot="1" x14ac:dyDescent="0.4">
      <c r="B32" s="78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7"/>
      <c r="S32" s="188"/>
      <c r="T32" s="58"/>
    </row>
    <row r="33" spans="2:21" x14ac:dyDescent="0.35">
      <c r="B33" s="202" t="s">
        <v>411</v>
      </c>
      <c r="C33" s="203">
        <v>1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1</v>
      </c>
      <c r="R33" s="204">
        <v>1</v>
      </c>
      <c r="S33" s="200" t="s">
        <v>415</v>
      </c>
      <c r="T33" s="208"/>
      <c r="U33" s="300" t="s">
        <v>444</v>
      </c>
    </row>
    <row r="34" spans="2:21" x14ac:dyDescent="0.35">
      <c r="B34" s="202" t="s">
        <v>412</v>
      </c>
      <c r="C34" s="203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4">
        <v>0</v>
      </c>
      <c r="S34" s="200" t="s">
        <v>416</v>
      </c>
      <c r="T34" s="208"/>
      <c r="U34" s="301"/>
    </row>
    <row r="35" spans="2:21" x14ac:dyDescent="0.35">
      <c r="B35" s="202"/>
      <c r="C35" s="289" t="s">
        <v>413</v>
      </c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90"/>
      <c r="S35" s="200"/>
      <c r="T35" s="208"/>
      <c r="U35" s="301"/>
    </row>
    <row r="36" spans="2:21" x14ac:dyDescent="0.35">
      <c r="B36" s="202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90"/>
      <c r="S36" s="200"/>
      <c r="T36" s="208"/>
      <c r="U36" s="301"/>
    </row>
    <row r="37" spans="2:21" x14ac:dyDescent="0.35">
      <c r="B37" s="202" t="s">
        <v>414</v>
      </c>
      <c r="C37" s="203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4">
        <v>0</v>
      </c>
      <c r="S37" s="200" t="s">
        <v>418</v>
      </c>
      <c r="T37" s="208"/>
      <c r="U37" s="301"/>
    </row>
    <row r="38" spans="2:21" ht="15" thickBot="1" x14ac:dyDescent="0.4">
      <c r="B38" s="205" t="s">
        <v>417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1</v>
      </c>
      <c r="K38" s="206">
        <v>1</v>
      </c>
      <c r="L38" s="206">
        <v>1</v>
      </c>
      <c r="M38" s="206">
        <v>1</v>
      </c>
      <c r="N38" s="206">
        <v>0</v>
      </c>
      <c r="O38" s="206">
        <v>0</v>
      </c>
      <c r="P38" s="206">
        <v>0</v>
      </c>
      <c r="Q38" s="206">
        <v>0</v>
      </c>
      <c r="R38" s="207">
        <v>0</v>
      </c>
      <c r="S38" s="200" t="s">
        <v>419</v>
      </c>
      <c r="T38" s="208"/>
      <c r="U38" s="302"/>
    </row>
  </sheetData>
  <mergeCells count="10">
    <mergeCell ref="T19:T22"/>
    <mergeCell ref="T23:T24"/>
    <mergeCell ref="T25:T27"/>
    <mergeCell ref="T28:T29"/>
    <mergeCell ref="U33:U38"/>
    <mergeCell ref="C3:F3"/>
    <mergeCell ref="G3:R3"/>
    <mergeCell ref="B2:S2"/>
    <mergeCell ref="C35:R36"/>
    <mergeCell ref="B16:S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CD21-E3AB-4942-9C4B-341EBFD211C0}">
  <dimension ref="A1:Z37"/>
  <sheetViews>
    <sheetView tabSelected="1" zoomScale="83" workbookViewId="0">
      <selection activeCell="E16" sqref="E16"/>
    </sheetView>
  </sheetViews>
  <sheetFormatPr defaultRowHeight="14.5" x14ac:dyDescent="0.35"/>
  <cols>
    <col min="1" max="1" width="5.6328125" customWidth="1"/>
    <col min="2" max="2" width="8.90625" customWidth="1"/>
    <col min="3" max="3" width="5.54296875" customWidth="1"/>
    <col min="4" max="4" width="8.54296875" customWidth="1"/>
    <col min="5" max="5" width="8.08984375" customWidth="1"/>
    <col min="6" max="6" width="5.36328125" customWidth="1"/>
    <col min="7" max="7" width="3.54296875" customWidth="1"/>
    <col min="8" max="8" width="5.453125" customWidth="1"/>
    <col min="9" max="9" width="7.6328125" customWidth="1"/>
    <col min="10" max="10" width="4.90625" customWidth="1"/>
    <col min="11" max="13" width="7.6328125" customWidth="1"/>
    <col min="14" max="14" width="6.08984375" customWidth="1"/>
    <col min="16" max="16" width="5.54296875" customWidth="1"/>
    <col min="17" max="19" width="7.6328125" customWidth="1"/>
    <col min="20" max="20" width="3.36328125" customWidth="1"/>
  </cols>
  <sheetData>
    <row r="1" spans="1:26" ht="15" thickBot="1" x14ac:dyDescent="0.4">
      <c r="A1" s="38"/>
      <c r="B1" s="38"/>
      <c r="C1" s="38"/>
      <c r="D1" s="183" t="s">
        <v>393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 thickBot="1" x14ac:dyDescent="0.4">
      <c r="A2" s="38"/>
      <c r="B2" s="240" t="s">
        <v>370</v>
      </c>
      <c r="C2" s="241"/>
      <c r="D2" s="175" t="s">
        <v>372</v>
      </c>
      <c r="E2" s="242" t="s">
        <v>373</v>
      </c>
      <c r="F2" s="243"/>
      <c r="G2" s="38"/>
      <c r="H2" s="244" t="s">
        <v>374</v>
      </c>
      <c r="I2" s="245"/>
      <c r="J2" s="245"/>
      <c r="K2" s="245"/>
      <c r="L2" s="245"/>
      <c r="M2" s="246"/>
      <c r="N2" s="245" t="s">
        <v>382</v>
      </c>
      <c r="O2" s="245"/>
      <c r="P2" s="245"/>
      <c r="Q2" s="245"/>
      <c r="R2" s="245"/>
      <c r="S2" s="246"/>
      <c r="T2" s="38"/>
      <c r="U2" s="244" t="s">
        <v>385</v>
      </c>
      <c r="V2" s="245"/>
      <c r="W2" s="245"/>
      <c r="X2" s="245"/>
      <c r="Y2" s="246"/>
      <c r="Z2" s="38"/>
    </row>
    <row r="3" spans="1:26" ht="15" thickBot="1" x14ac:dyDescent="0.4">
      <c r="A3" s="38"/>
      <c r="B3" s="236">
        <v>24.576000000000001</v>
      </c>
      <c r="C3" s="156" t="s">
        <v>371</v>
      </c>
      <c r="D3" s="157">
        <v>46</v>
      </c>
      <c r="E3" s="158">
        <f>B3*D3</f>
        <v>1130.4960000000001</v>
      </c>
      <c r="F3" s="181" t="s">
        <v>371</v>
      </c>
      <c r="G3" s="38"/>
      <c r="H3" s="159" t="s">
        <v>375</v>
      </c>
      <c r="I3" s="247" t="s">
        <v>376</v>
      </c>
      <c r="J3" s="248"/>
      <c r="K3" s="160" t="s">
        <v>377</v>
      </c>
      <c r="L3" s="160" t="s">
        <v>378</v>
      </c>
      <c r="M3" s="162" t="s">
        <v>379</v>
      </c>
      <c r="N3" s="161" t="s">
        <v>375</v>
      </c>
      <c r="O3" s="247" t="s">
        <v>376</v>
      </c>
      <c r="P3" s="248"/>
      <c r="Q3" s="160" t="s">
        <v>377</v>
      </c>
      <c r="R3" s="160" t="s">
        <v>378</v>
      </c>
      <c r="S3" s="162" t="s">
        <v>379</v>
      </c>
      <c r="T3" s="38"/>
      <c r="U3" s="174" t="s">
        <v>377</v>
      </c>
      <c r="V3" s="160" t="s">
        <v>378</v>
      </c>
      <c r="W3" s="160" t="s">
        <v>383</v>
      </c>
      <c r="X3" s="160" t="s">
        <v>379</v>
      </c>
      <c r="Y3" s="162" t="s">
        <v>384</v>
      </c>
      <c r="Z3" s="38"/>
    </row>
    <row r="4" spans="1:26" ht="15" thickBot="1" x14ac:dyDescent="0.4">
      <c r="A4" s="38"/>
      <c r="B4" s="38"/>
      <c r="C4" s="38"/>
      <c r="D4" s="38"/>
      <c r="E4" s="38"/>
      <c r="F4" s="38"/>
      <c r="G4" s="38"/>
      <c r="H4" s="167">
        <v>2</v>
      </c>
      <c r="I4" s="168">
        <f>$E$3/H4</f>
        <v>565.24800000000005</v>
      </c>
      <c r="J4" s="169" t="s">
        <v>371</v>
      </c>
      <c r="K4" s="163" t="str">
        <f>CONCATENATE("0x",DEC2HEX(H4/2))</f>
        <v>0x1</v>
      </c>
      <c r="L4" s="163" t="str">
        <f>CONCATENATE("0x",DEC2HEX((H4/2)+MOD(H4,2)))</f>
        <v>0x1</v>
      </c>
      <c r="M4" s="164" t="str">
        <f>CONCATENATE("0x",DEC2HEX(MOD(H4,2)))</f>
        <v>0x0</v>
      </c>
      <c r="N4" s="100">
        <f>H4*5</f>
        <v>10</v>
      </c>
      <c r="O4" s="168">
        <f>$E$3/N4</f>
        <v>113.04960000000001</v>
      </c>
      <c r="P4" s="169" t="s">
        <v>371</v>
      </c>
      <c r="Q4" s="163" t="str">
        <f>CONCATENATE("0x",DEC2HEX(N4/2))</f>
        <v>0x5</v>
      </c>
      <c r="R4" s="163" t="str">
        <f>CONCATENATE("0x",DEC2HEX((N4/2)+MOD(N4,2)))</f>
        <v>0x5</v>
      </c>
      <c r="S4" s="164" t="str">
        <f>CONCATENATE("0x",DEC2HEX(MOD(N4,2)))</f>
        <v>0x0</v>
      </c>
      <c r="T4" s="38"/>
      <c r="U4" s="184" t="s">
        <v>59</v>
      </c>
      <c r="V4" s="185" t="s">
        <v>59</v>
      </c>
      <c r="W4" s="185" t="s">
        <v>380</v>
      </c>
      <c r="X4" s="185" t="s">
        <v>59</v>
      </c>
      <c r="Y4" s="186" t="s">
        <v>59</v>
      </c>
      <c r="Z4" s="38"/>
    </row>
    <row r="5" spans="1:26" ht="15" thickBot="1" x14ac:dyDescent="0.4">
      <c r="A5" s="38"/>
      <c r="B5" s="249" t="s">
        <v>387</v>
      </c>
      <c r="C5" s="250"/>
      <c r="E5" s="238" t="s">
        <v>388</v>
      </c>
      <c r="F5" s="239"/>
      <c r="G5" s="38"/>
      <c r="H5" s="167">
        <v>3</v>
      </c>
      <c r="I5" s="168">
        <f t="shared" ref="I5:I34" si="0">$E$3/H5</f>
        <v>376.83200000000005</v>
      </c>
      <c r="J5" s="169" t="s">
        <v>371</v>
      </c>
      <c r="K5" s="163" t="str">
        <f t="shared" ref="K5:K23" si="1">CONCATENATE("0x",DEC2HEX(H5/2))</f>
        <v>0x1</v>
      </c>
      <c r="L5" s="163" t="str">
        <f t="shared" ref="L5:L23" si="2">CONCATENATE("0x",DEC2HEX((H5/2)+MOD(H5,2)))</f>
        <v>0x2</v>
      </c>
      <c r="M5" s="164" t="str">
        <f t="shared" ref="M5:M23" si="3">CONCATENATE("0x",DEC2HEX(MOD(H5,2)))</f>
        <v>0x1</v>
      </c>
      <c r="N5" s="100">
        <f t="shared" ref="N5:N23" si="4">H5*5</f>
        <v>15</v>
      </c>
      <c r="O5" s="168">
        <f t="shared" ref="O5:O34" si="5">$E$3/N5</f>
        <v>75.366400000000013</v>
      </c>
      <c r="P5" s="169" t="s">
        <v>371</v>
      </c>
      <c r="Q5" s="163" t="str">
        <f t="shared" ref="Q5:Q23" si="6">CONCATENATE("0x",DEC2HEX(N5/2))</f>
        <v>0x7</v>
      </c>
      <c r="R5" s="163" t="str">
        <f t="shared" ref="R5:R23" si="7">CONCATENATE("0x",DEC2HEX((N5/2)+MOD(N5,2)))</f>
        <v>0x8</v>
      </c>
      <c r="S5" s="164" t="str">
        <f t="shared" ref="S5:S23" si="8">CONCATENATE("0x",DEC2HEX(MOD(N5,2)))</f>
        <v>0x1</v>
      </c>
      <c r="T5" s="38"/>
      <c r="U5" s="38"/>
      <c r="V5" s="38"/>
      <c r="W5" s="38"/>
      <c r="X5" s="38"/>
      <c r="Y5" s="38"/>
      <c r="Z5" s="38"/>
    </row>
    <row r="6" spans="1:26" ht="15" thickBot="1" x14ac:dyDescent="0.4">
      <c r="A6" s="38"/>
      <c r="B6" s="176">
        <v>190</v>
      </c>
      <c r="C6" s="178" t="s">
        <v>371</v>
      </c>
      <c r="D6" s="38"/>
      <c r="E6" s="133">
        <f>MAX(INDEX(I1:I31,MATCH(B6,I1:I31,-1)+1),IFERROR(INDEX(I1:I31,MATCH(B6,I1:I31,0)),0))</f>
        <v>188.41600000000003</v>
      </c>
      <c r="F6" s="182" t="s">
        <v>371</v>
      </c>
      <c r="G6" s="38"/>
      <c r="H6" s="167">
        <v>4</v>
      </c>
      <c r="I6" s="168">
        <f t="shared" si="0"/>
        <v>282.62400000000002</v>
      </c>
      <c r="J6" s="169" t="s">
        <v>371</v>
      </c>
      <c r="K6" s="163" t="str">
        <f t="shared" si="1"/>
        <v>0x2</v>
      </c>
      <c r="L6" s="163" t="str">
        <f t="shared" si="2"/>
        <v>0x2</v>
      </c>
      <c r="M6" s="164" t="str">
        <f t="shared" si="3"/>
        <v>0x0</v>
      </c>
      <c r="N6" s="100">
        <f t="shared" si="4"/>
        <v>20</v>
      </c>
      <c r="O6" s="168">
        <f t="shared" si="5"/>
        <v>56.524800000000006</v>
      </c>
      <c r="P6" s="169" t="s">
        <v>371</v>
      </c>
      <c r="Q6" s="163" t="str">
        <f t="shared" si="6"/>
        <v>0xA</v>
      </c>
      <c r="R6" s="163" t="str">
        <f t="shared" si="7"/>
        <v>0xA</v>
      </c>
      <c r="S6" s="164" t="str">
        <f t="shared" si="8"/>
        <v>0x0</v>
      </c>
      <c r="T6" s="38"/>
      <c r="U6" s="244" t="s">
        <v>386</v>
      </c>
      <c r="V6" s="245"/>
      <c r="W6" s="245"/>
      <c r="X6" s="245"/>
      <c r="Y6" s="246"/>
      <c r="Z6" s="38"/>
    </row>
    <row r="7" spans="1:26" ht="15" thickBot="1" x14ac:dyDescent="0.4">
      <c r="A7" s="38"/>
      <c r="B7" s="38"/>
      <c r="C7" s="38"/>
      <c r="D7" s="237"/>
      <c r="E7" s="237"/>
      <c r="F7" s="38"/>
      <c r="G7" s="38"/>
      <c r="H7" s="167">
        <v>5</v>
      </c>
      <c r="I7" s="168">
        <f t="shared" si="0"/>
        <v>226.09920000000002</v>
      </c>
      <c r="J7" s="169" t="s">
        <v>371</v>
      </c>
      <c r="K7" s="163" t="str">
        <f t="shared" si="1"/>
        <v>0x2</v>
      </c>
      <c r="L7" s="163" t="str">
        <f t="shared" si="2"/>
        <v>0x3</v>
      </c>
      <c r="M7" s="164" t="str">
        <f t="shared" si="3"/>
        <v>0x1</v>
      </c>
      <c r="N7" s="100">
        <f t="shared" si="4"/>
        <v>25</v>
      </c>
      <c r="O7" s="168">
        <f t="shared" si="5"/>
        <v>45.219840000000005</v>
      </c>
      <c r="P7" s="169" t="s">
        <v>371</v>
      </c>
      <c r="Q7" s="163" t="str">
        <f t="shared" si="6"/>
        <v>0xC</v>
      </c>
      <c r="R7" s="163" t="str">
        <f t="shared" si="7"/>
        <v>0xD</v>
      </c>
      <c r="S7" s="164" t="str">
        <f t="shared" si="8"/>
        <v>0x1</v>
      </c>
      <c r="T7" s="38"/>
      <c r="U7" s="174" t="s">
        <v>377</v>
      </c>
      <c r="V7" s="160" t="s">
        <v>378</v>
      </c>
      <c r="W7" s="160" t="s">
        <v>383</v>
      </c>
      <c r="X7" s="160" t="s">
        <v>379</v>
      </c>
      <c r="Y7" s="162" t="s">
        <v>384</v>
      </c>
      <c r="Z7" s="38"/>
    </row>
    <row r="8" spans="1:26" ht="15" thickBot="1" x14ac:dyDescent="0.4">
      <c r="A8" s="38"/>
      <c r="B8" s="249" t="s">
        <v>389</v>
      </c>
      <c r="C8" s="250"/>
      <c r="D8" s="38"/>
      <c r="E8" s="238" t="s">
        <v>388</v>
      </c>
      <c r="F8" s="239"/>
      <c r="G8" s="38"/>
      <c r="H8" s="167">
        <v>6</v>
      </c>
      <c r="I8" s="168">
        <f t="shared" si="0"/>
        <v>188.41600000000003</v>
      </c>
      <c r="J8" s="169" t="s">
        <v>371</v>
      </c>
      <c r="K8" s="163" t="str">
        <f t="shared" si="1"/>
        <v>0x3</v>
      </c>
      <c r="L8" s="163" t="str">
        <f t="shared" si="2"/>
        <v>0x3</v>
      </c>
      <c r="M8" s="164" t="str">
        <f t="shared" si="3"/>
        <v>0x0</v>
      </c>
      <c r="N8" s="100">
        <f t="shared" si="4"/>
        <v>30</v>
      </c>
      <c r="O8" s="168">
        <f t="shared" si="5"/>
        <v>37.683200000000006</v>
      </c>
      <c r="P8" s="169" t="s">
        <v>371</v>
      </c>
      <c r="Q8" s="163" t="str">
        <f t="shared" si="6"/>
        <v>0xF</v>
      </c>
      <c r="R8" s="163" t="str">
        <f t="shared" si="7"/>
        <v>0xF</v>
      </c>
      <c r="S8" s="164" t="str">
        <f t="shared" si="8"/>
        <v>0x0</v>
      </c>
      <c r="T8" s="38"/>
      <c r="U8" s="184" t="str">
        <f>CONCATENATE("0x",DEC2HEX(D3/2))</f>
        <v>0x17</v>
      </c>
      <c r="V8" s="185" t="str">
        <f>CONCATENATE("0x",DEC2HEX((D3/2)+MOD(D3,2)))</f>
        <v>0x17</v>
      </c>
      <c r="W8" s="185" t="s">
        <v>381</v>
      </c>
      <c r="X8" s="185" t="str">
        <f>CONCATENATE("0x",DEC2HEX(MOD(D3,2)))</f>
        <v>0x0</v>
      </c>
      <c r="Y8" s="186" t="str">
        <f>CONCATENATE("0x",DEC2HEX(D3))</f>
        <v>0x2E</v>
      </c>
      <c r="Z8" s="38"/>
    </row>
    <row r="9" spans="1:26" ht="15" thickBot="1" x14ac:dyDescent="0.4">
      <c r="A9" s="38"/>
      <c r="B9" s="177">
        <v>85</v>
      </c>
      <c r="C9" s="180" t="s">
        <v>371</v>
      </c>
      <c r="D9" s="38"/>
      <c r="E9" s="133">
        <f>MAX(INDEX(I4:I34,MATCH(B9,I4:I34,-1)+1),IFERROR(INDEX(I4:I34,MATCH(B9,I4:I34,0)),0))</f>
        <v>80.74971428571429</v>
      </c>
      <c r="F9" s="182" t="s">
        <v>371</v>
      </c>
      <c r="G9" s="38"/>
      <c r="H9" s="167">
        <v>7</v>
      </c>
      <c r="I9" s="168">
        <f t="shared" si="0"/>
        <v>161.49942857142858</v>
      </c>
      <c r="J9" s="169" t="s">
        <v>371</v>
      </c>
      <c r="K9" s="163" t="str">
        <f t="shared" si="1"/>
        <v>0x3</v>
      </c>
      <c r="L9" s="163" t="str">
        <f t="shared" si="2"/>
        <v>0x4</v>
      </c>
      <c r="M9" s="164" t="str">
        <f t="shared" si="3"/>
        <v>0x1</v>
      </c>
      <c r="N9" s="100">
        <f t="shared" si="4"/>
        <v>35</v>
      </c>
      <c r="O9" s="168">
        <f t="shared" si="5"/>
        <v>32.299885714285715</v>
      </c>
      <c r="P9" s="169" t="s">
        <v>371</v>
      </c>
      <c r="Q9" s="163" t="str">
        <f t="shared" si="6"/>
        <v>0x11</v>
      </c>
      <c r="R9" s="163" t="str">
        <f t="shared" si="7"/>
        <v>0x12</v>
      </c>
      <c r="S9" s="164" t="str">
        <f t="shared" si="8"/>
        <v>0x1</v>
      </c>
      <c r="T9" s="38"/>
      <c r="U9" s="38"/>
      <c r="V9" s="38"/>
      <c r="W9" s="38"/>
      <c r="X9" s="38"/>
      <c r="Y9" s="38"/>
      <c r="Z9" s="38"/>
    </row>
    <row r="10" spans="1:26" ht="15" thickBot="1" x14ac:dyDescent="0.4">
      <c r="A10" s="38"/>
      <c r="B10" s="38"/>
      <c r="C10" s="38"/>
      <c r="D10" s="38"/>
      <c r="E10" s="38"/>
      <c r="F10" s="38"/>
      <c r="G10" s="38"/>
      <c r="H10" s="167">
        <v>8</v>
      </c>
      <c r="I10" s="168">
        <f t="shared" si="0"/>
        <v>141.31200000000001</v>
      </c>
      <c r="J10" s="169" t="s">
        <v>371</v>
      </c>
      <c r="K10" s="163" t="str">
        <f t="shared" si="1"/>
        <v>0x4</v>
      </c>
      <c r="L10" s="163" t="str">
        <f t="shared" si="2"/>
        <v>0x4</v>
      </c>
      <c r="M10" s="164" t="str">
        <f t="shared" si="3"/>
        <v>0x0</v>
      </c>
      <c r="N10" s="100">
        <f t="shared" si="4"/>
        <v>40</v>
      </c>
      <c r="O10" s="168">
        <f t="shared" si="5"/>
        <v>28.262400000000003</v>
      </c>
      <c r="P10" s="169" t="s">
        <v>371</v>
      </c>
      <c r="Q10" s="163" t="str">
        <f t="shared" si="6"/>
        <v>0x14</v>
      </c>
      <c r="R10" s="163" t="str">
        <f t="shared" si="7"/>
        <v>0x14</v>
      </c>
      <c r="S10" s="164" t="str">
        <f t="shared" si="8"/>
        <v>0x0</v>
      </c>
      <c r="T10" s="38"/>
      <c r="U10" s="244" t="s">
        <v>390</v>
      </c>
      <c r="V10" s="245"/>
      <c r="W10" s="245"/>
      <c r="X10" s="246"/>
      <c r="Y10" s="38"/>
      <c r="Z10" s="38"/>
    </row>
    <row r="11" spans="1:26" ht="15" thickBot="1" x14ac:dyDescent="0.4">
      <c r="A11" s="38"/>
      <c r="B11" s="38"/>
      <c r="C11" s="38"/>
      <c r="D11" s="38"/>
      <c r="E11" s="38"/>
      <c r="F11" s="38"/>
      <c r="G11" s="38"/>
      <c r="H11" s="167">
        <v>9</v>
      </c>
      <c r="I11" s="168">
        <f t="shared" si="0"/>
        <v>125.61066666666667</v>
      </c>
      <c r="J11" s="169" t="s">
        <v>371</v>
      </c>
      <c r="K11" s="163" t="str">
        <f t="shared" si="1"/>
        <v>0x4</v>
      </c>
      <c r="L11" s="163" t="str">
        <f t="shared" si="2"/>
        <v>0x5</v>
      </c>
      <c r="M11" s="164" t="str">
        <f t="shared" si="3"/>
        <v>0x1</v>
      </c>
      <c r="N11" s="100">
        <f t="shared" si="4"/>
        <v>45</v>
      </c>
      <c r="O11" s="168">
        <f t="shared" si="5"/>
        <v>25.122133333333334</v>
      </c>
      <c r="P11" s="169" t="s">
        <v>371</v>
      </c>
      <c r="Q11" s="163" t="str">
        <f t="shared" si="6"/>
        <v>0x16</v>
      </c>
      <c r="R11" s="163" t="str">
        <f t="shared" si="7"/>
        <v>0x17</v>
      </c>
      <c r="S11" s="164" t="str">
        <f t="shared" si="8"/>
        <v>0x1</v>
      </c>
      <c r="T11" s="38"/>
      <c r="U11" s="174" t="s">
        <v>377</v>
      </c>
      <c r="V11" s="160" t="s">
        <v>378</v>
      </c>
      <c r="W11" s="160" t="s">
        <v>383</v>
      </c>
      <c r="X11" s="162" t="s">
        <v>379</v>
      </c>
      <c r="Y11" s="38"/>
      <c r="Z11" s="38"/>
    </row>
    <row r="12" spans="1:26" ht="15" thickBot="1" x14ac:dyDescent="0.4">
      <c r="A12" s="38"/>
      <c r="B12" s="38"/>
      <c r="C12" s="38"/>
      <c r="D12" s="38"/>
      <c r="E12" s="38"/>
      <c r="F12" s="38"/>
      <c r="G12" s="38"/>
      <c r="H12" s="167">
        <v>10</v>
      </c>
      <c r="I12" s="168">
        <f t="shared" si="0"/>
        <v>113.04960000000001</v>
      </c>
      <c r="J12" s="169" t="s">
        <v>371</v>
      </c>
      <c r="K12" s="163" t="str">
        <f t="shared" si="1"/>
        <v>0x5</v>
      </c>
      <c r="L12" s="163" t="str">
        <f t="shared" si="2"/>
        <v>0x5</v>
      </c>
      <c r="M12" s="164" t="str">
        <f t="shared" si="3"/>
        <v>0x0</v>
      </c>
      <c r="N12" s="100">
        <f t="shared" si="4"/>
        <v>50</v>
      </c>
      <c r="O12" s="168">
        <f t="shared" si="5"/>
        <v>22.609920000000002</v>
      </c>
      <c r="P12" s="169" t="s">
        <v>371</v>
      </c>
      <c r="Q12" s="163" t="str">
        <f t="shared" si="6"/>
        <v>0x19</v>
      </c>
      <c r="R12" s="163" t="str">
        <f t="shared" si="7"/>
        <v>0x19</v>
      </c>
      <c r="S12" s="164" t="str">
        <f t="shared" si="8"/>
        <v>0x0</v>
      </c>
      <c r="T12" s="38"/>
      <c r="U12" s="176" t="str">
        <f>INDEX(I4:M34,MATCH(E9,I4:I34,0),3)</f>
        <v>0x7</v>
      </c>
      <c r="V12" s="176" t="str">
        <f>INDEX(I4:M34,MATCH(E9,I4:I34,0),4)</f>
        <v>0x7</v>
      </c>
      <c r="W12" s="176" t="s">
        <v>381</v>
      </c>
      <c r="X12" s="179" t="str">
        <f>INDEX(I4:M34,MATCH(E9,I4:I34,0),5)</f>
        <v>0x0</v>
      </c>
      <c r="Y12" s="38"/>
      <c r="Z12" s="38"/>
    </row>
    <row r="13" spans="1:26" ht="15" thickBot="1" x14ac:dyDescent="0.4">
      <c r="A13" s="38"/>
      <c r="B13" s="38"/>
      <c r="C13" s="38"/>
      <c r="D13" s="38"/>
      <c r="E13" s="38"/>
      <c r="F13" s="38"/>
      <c r="G13" s="38"/>
      <c r="H13" s="167">
        <v>11</v>
      </c>
      <c r="I13" s="168">
        <f t="shared" si="0"/>
        <v>102.77236363636365</v>
      </c>
      <c r="J13" s="169" t="s">
        <v>371</v>
      </c>
      <c r="K13" s="163" t="str">
        <f t="shared" si="1"/>
        <v>0x5</v>
      </c>
      <c r="L13" s="163" t="str">
        <f t="shared" si="2"/>
        <v>0x6</v>
      </c>
      <c r="M13" s="164" t="str">
        <f t="shared" si="3"/>
        <v>0x1</v>
      </c>
      <c r="N13" s="100">
        <f t="shared" si="4"/>
        <v>55</v>
      </c>
      <c r="O13" s="168">
        <f t="shared" si="5"/>
        <v>20.554472727272728</v>
      </c>
      <c r="P13" s="169" t="s">
        <v>371</v>
      </c>
      <c r="Q13" s="163" t="str">
        <f t="shared" si="6"/>
        <v>0x1B</v>
      </c>
      <c r="R13" s="163" t="str">
        <f t="shared" si="7"/>
        <v>0x1C</v>
      </c>
      <c r="S13" s="164" t="str">
        <f t="shared" si="8"/>
        <v>0x1</v>
      </c>
      <c r="T13" s="38"/>
      <c r="U13" s="38"/>
      <c r="V13" s="38"/>
      <c r="W13" s="38"/>
      <c r="X13" s="38"/>
      <c r="Y13" s="38"/>
      <c r="Z13" s="38"/>
    </row>
    <row r="14" spans="1:26" ht="15" thickBot="1" x14ac:dyDescent="0.4">
      <c r="A14" s="38"/>
      <c r="B14" s="38"/>
      <c r="C14" s="38"/>
      <c r="D14" s="38"/>
      <c r="E14" s="38"/>
      <c r="F14" s="38"/>
      <c r="G14" s="38"/>
      <c r="H14" s="167">
        <v>12</v>
      </c>
      <c r="I14" s="168">
        <f t="shared" si="0"/>
        <v>94.208000000000013</v>
      </c>
      <c r="J14" s="169" t="s">
        <v>371</v>
      </c>
      <c r="K14" s="163" t="str">
        <f t="shared" si="1"/>
        <v>0x6</v>
      </c>
      <c r="L14" s="163" t="str">
        <f t="shared" si="2"/>
        <v>0x6</v>
      </c>
      <c r="M14" s="164" t="str">
        <f t="shared" si="3"/>
        <v>0x0</v>
      </c>
      <c r="N14" s="100">
        <f t="shared" si="4"/>
        <v>60</v>
      </c>
      <c r="O14" s="168">
        <f t="shared" si="5"/>
        <v>18.841600000000003</v>
      </c>
      <c r="P14" s="169" t="s">
        <v>371</v>
      </c>
      <c r="Q14" s="163" t="str">
        <f t="shared" si="6"/>
        <v>0x1E</v>
      </c>
      <c r="R14" s="163" t="str">
        <f t="shared" si="7"/>
        <v>0x1E</v>
      </c>
      <c r="S14" s="164" t="str">
        <f t="shared" si="8"/>
        <v>0x0</v>
      </c>
      <c r="T14" s="38"/>
      <c r="U14" s="244" t="s">
        <v>391</v>
      </c>
      <c r="V14" s="245"/>
      <c r="W14" s="245"/>
      <c r="X14" s="246"/>
      <c r="Y14" s="38"/>
      <c r="Z14" s="38"/>
    </row>
    <row r="15" spans="1:26" ht="15" thickBot="1" x14ac:dyDescent="0.4">
      <c r="A15" s="38"/>
      <c r="B15" s="38"/>
      <c r="C15" s="38"/>
      <c r="D15" s="38"/>
      <c r="E15" s="38"/>
      <c r="F15" s="38"/>
      <c r="G15" s="38"/>
      <c r="H15" s="167">
        <v>13</v>
      </c>
      <c r="I15" s="168">
        <f t="shared" si="0"/>
        <v>86.961230769230781</v>
      </c>
      <c r="J15" s="169" t="s">
        <v>371</v>
      </c>
      <c r="K15" s="163" t="str">
        <f t="shared" si="1"/>
        <v>0x6</v>
      </c>
      <c r="L15" s="163" t="str">
        <f t="shared" si="2"/>
        <v>0x7</v>
      </c>
      <c r="M15" s="164" t="str">
        <f t="shared" si="3"/>
        <v>0x1</v>
      </c>
      <c r="N15" s="100">
        <f t="shared" si="4"/>
        <v>65</v>
      </c>
      <c r="O15" s="168">
        <f t="shared" si="5"/>
        <v>17.392246153846155</v>
      </c>
      <c r="P15" s="169" t="s">
        <v>371</v>
      </c>
      <c r="Q15" s="163" t="str">
        <f t="shared" si="6"/>
        <v>0x20</v>
      </c>
      <c r="R15" s="163" t="str">
        <f t="shared" si="7"/>
        <v>0x21</v>
      </c>
      <c r="S15" s="164" t="str">
        <f t="shared" si="8"/>
        <v>0x1</v>
      </c>
      <c r="T15" s="38"/>
      <c r="U15" s="174" t="s">
        <v>377</v>
      </c>
      <c r="V15" s="160" t="s">
        <v>378</v>
      </c>
      <c r="W15" s="160" t="s">
        <v>383</v>
      </c>
      <c r="X15" s="162" t="s">
        <v>379</v>
      </c>
      <c r="Y15" s="38"/>
      <c r="Z15" s="38"/>
    </row>
    <row r="16" spans="1:26" ht="15" thickBot="1" x14ac:dyDescent="0.4">
      <c r="A16" s="38"/>
      <c r="B16" s="38"/>
      <c r="C16" s="38"/>
      <c r="D16" s="38"/>
      <c r="E16" s="38"/>
      <c r="F16" s="38"/>
      <c r="G16" s="38"/>
      <c r="H16" s="167">
        <v>14</v>
      </c>
      <c r="I16" s="168">
        <f t="shared" si="0"/>
        <v>80.74971428571429</v>
      </c>
      <c r="J16" s="169" t="s">
        <v>371</v>
      </c>
      <c r="K16" s="163" t="str">
        <f t="shared" si="1"/>
        <v>0x7</v>
      </c>
      <c r="L16" s="163" t="str">
        <f t="shared" si="2"/>
        <v>0x7</v>
      </c>
      <c r="M16" s="164" t="str">
        <f t="shared" si="3"/>
        <v>0x0</v>
      </c>
      <c r="N16" s="100">
        <f t="shared" si="4"/>
        <v>70</v>
      </c>
      <c r="O16" s="168">
        <f t="shared" si="5"/>
        <v>16.149942857142857</v>
      </c>
      <c r="P16" s="169" t="s">
        <v>371</v>
      </c>
      <c r="Q16" s="163" t="str">
        <f t="shared" si="6"/>
        <v>0x23</v>
      </c>
      <c r="R16" s="163" t="str">
        <f t="shared" si="7"/>
        <v>0x23</v>
      </c>
      <c r="S16" s="164" t="str">
        <f t="shared" si="8"/>
        <v>0x0</v>
      </c>
      <c r="T16" s="38"/>
      <c r="U16" s="176" t="str">
        <f>INDEX(I4:M34,MATCH(E6,I4:I34,0),3)</f>
        <v>0x3</v>
      </c>
      <c r="V16" s="176" t="str">
        <f>INDEX(I4:M34,MATCH(E6,I4:I34,0),4)</f>
        <v>0x3</v>
      </c>
      <c r="W16" s="176" t="s">
        <v>381</v>
      </c>
      <c r="X16" s="179" t="str">
        <f>INDEX(I4:M34,MATCH(E6,I4:I34,0),5)</f>
        <v>0x0</v>
      </c>
      <c r="Y16" s="38"/>
      <c r="Z16" s="38"/>
    </row>
    <row r="17" spans="1:26" x14ac:dyDescent="0.35">
      <c r="A17" s="38"/>
      <c r="B17" s="38"/>
      <c r="C17" s="38"/>
      <c r="D17" s="38"/>
      <c r="E17" s="38"/>
      <c r="F17" s="38"/>
      <c r="G17" s="38"/>
      <c r="H17" s="167">
        <v>15</v>
      </c>
      <c r="I17" s="168">
        <f t="shared" si="0"/>
        <v>75.366400000000013</v>
      </c>
      <c r="J17" s="169" t="s">
        <v>371</v>
      </c>
      <c r="K17" s="163" t="str">
        <f t="shared" si="1"/>
        <v>0x7</v>
      </c>
      <c r="L17" s="163" t="str">
        <f t="shared" si="2"/>
        <v>0x8</v>
      </c>
      <c r="M17" s="164" t="str">
        <f t="shared" si="3"/>
        <v>0x1</v>
      </c>
      <c r="N17" s="100">
        <f t="shared" si="4"/>
        <v>75</v>
      </c>
      <c r="O17" s="168">
        <f t="shared" si="5"/>
        <v>15.07328</v>
      </c>
      <c r="P17" s="169" t="s">
        <v>371</v>
      </c>
      <c r="Q17" s="163" t="str">
        <f t="shared" si="6"/>
        <v>0x25</v>
      </c>
      <c r="R17" s="163" t="str">
        <f t="shared" si="7"/>
        <v>0x26</v>
      </c>
      <c r="S17" s="164" t="str">
        <f t="shared" si="8"/>
        <v>0x1</v>
      </c>
      <c r="T17" s="38"/>
      <c r="U17" s="38"/>
      <c r="V17" s="38"/>
      <c r="W17" s="38"/>
      <c r="X17" s="38"/>
      <c r="Y17" s="38"/>
      <c r="Z17" s="38"/>
    </row>
    <row r="18" spans="1:26" x14ac:dyDescent="0.35">
      <c r="A18" s="38"/>
      <c r="B18" s="38"/>
      <c r="C18" s="38"/>
      <c r="D18" s="38"/>
      <c r="E18" s="38"/>
      <c r="F18" s="38"/>
      <c r="G18" s="38"/>
      <c r="H18" s="167">
        <v>16</v>
      </c>
      <c r="I18" s="168">
        <f t="shared" si="0"/>
        <v>70.656000000000006</v>
      </c>
      <c r="J18" s="169" t="s">
        <v>371</v>
      </c>
      <c r="K18" s="163" t="str">
        <f t="shared" si="1"/>
        <v>0x8</v>
      </c>
      <c r="L18" s="163" t="str">
        <f t="shared" si="2"/>
        <v>0x8</v>
      </c>
      <c r="M18" s="164" t="str">
        <f t="shared" si="3"/>
        <v>0x0</v>
      </c>
      <c r="N18" s="100">
        <f t="shared" si="4"/>
        <v>80</v>
      </c>
      <c r="O18" s="168">
        <f t="shared" si="5"/>
        <v>14.131200000000002</v>
      </c>
      <c r="P18" s="169" t="s">
        <v>371</v>
      </c>
      <c r="Q18" s="163" t="str">
        <f t="shared" si="6"/>
        <v>0x28</v>
      </c>
      <c r="R18" s="163" t="str">
        <f t="shared" si="7"/>
        <v>0x28</v>
      </c>
      <c r="S18" s="164" t="str">
        <f t="shared" si="8"/>
        <v>0x0</v>
      </c>
      <c r="T18" s="38"/>
      <c r="U18" s="38"/>
      <c r="V18" s="38"/>
      <c r="W18" s="38"/>
      <c r="X18" s="38"/>
      <c r="Y18" s="38"/>
      <c r="Z18" s="38"/>
    </row>
    <row r="19" spans="1:26" x14ac:dyDescent="0.35">
      <c r="A19" s="38"/>
      <c r="B19" s="38"/>
      <c r="C19" s="38"/>
      <c r="D19" s="38"/>
      <c r="E19" s="38"/>
      <c r="F19" s="38"/>
      <c r="G19" s="38"/>
      <c r="H19" s="167">
        <v>17</v>
      </c>
      <c r="I19" s="168">
        <f t="shared" si="0"/>
        <v>66.499764705882356</v>
      </c>
      <c r="J19" s="169" t="s">
        <v>371</v>
      </c>
      <c r="K19" s="163" t="str">
        <f t="shared" si="1"/>
        <v>0x8</v>
      </c>
      <c r="L19" s="163" t="str">
        <f t="shared" si="2"/>
        <v>0x9</v>
      </c>
      <c r="M19" s="164" t="str">
        <f t="shared" si="3"/>
        <v>0x1</v>
      </c>
      <c r="N19" s="100">
        <f t="shared" si="4"/>
        <v>85</v>
      </c>
      <c r="O19" s="168">
        <f t="shared" si="5"/>
        <v>13.299952941176471</v>
      </c>
      <c r="P19" s="169" t="s">
        <v>371</v>
      </c>
      <c r="Q19" s="163" t="str">
        <f t="shared" si="6"/>
        <v>0x2A</v>
      </c>
      <c r="R19" s="163" t="str">
        <f t="shared" si="7"/>
        <v>0x2B</v>
      </c>
      <c r="S19" s="164" t="str">
        <f t="shared" si="8"/>
        <v>0x1</v>
      </c>
      <c r="T19" s="38"/>
      <c r="U19" s="38"/>
      <c r="V19" s="38"/>
      <c r="W19" s="38"/>
      <c r="X19" s="38"/>
      <c r="Y19" s="38"/>
      <c r="Z19" s="38"/>
    </row>
    <row r="20" spans="1:26" x14ac:dyDescent="0.35">
      <c r="A20" s="38"/>
      <c r="B20" s="38"/>
      <c r="C20" s="38"/>
      <c r="D20" s="38"/>
      <c r="E20" s="38"/>
      <c r="F20" s="38"/>
      <c r="G20" s="38"/>
      <c r="H20" s="167">
        <v>18</v>
      </c>
      <c r="I20" s="168">
        <f t="shared" si="0"/>
        <v>62.805333333333337</v>
      </c>
      <c r="J20" s="169" t="s">
        <v>371</v>
      </c>
      <c r="K20" s="163" t="str">
        <f t="shared" si="1"/>
        <v>0x9</v>
      </c>
      <c r="L20" s="163" t="str">
        <f t="shared" si="2"/>
        <v>0x9</v>
      </c>
      <c r="M20" s="164" t="str">
        <f t="shared" si="3"/>
        <v>0x0</v>
      </c>
      <c r="N20" s="100">
        <f t="shared" si="4"/>
        <v>90</v>
      </c>
      <c r="O20" s="168">
        <f t="shared" si="5"/>
        <v>12.561066666666667</v>
      </c>
      <c r="P20" s="169" t="s">
        <v>371</v>
      </c>
      <c r="Q20" s="163" t="str">
        <f t="shared" si="6"/>
        <v>0x2D</v>
      </c>
      <c r="R20" s="163" t="str">
        <f t="shared" si="7"/>
        <v>0x2D</v>
      </c>
      <c r="S20" s="164" t="str">
        <f t="shared" si="8"/>
        <v>0x0</v>
      </c>
      <c r="T20" s="38"/>
      <c r="U20" s="38"/>
      <c r="V20" s="38"/>
      <c r="W20" s="38"/>
      <c r="X20" s="38"/>
      <c r="Y20" s="38"/>
      <c r="Z20" s="38"/>
    </row>
    <row r="21" spans="1:26" x14ac:dyDescent="0.35">
      <c r="A21" s="38"/>
      <c r="B21" s="38"/>
      <c r="C21" s="38"/>
      <c r="D21" s="38"/>
      <c r="E21" s="38"/>
      <c r="F21" s="38"/>
      <c r="G21" s="38"/>
      <c r="H21" s="167">
        <v>19</v>
      </c>
      <c r="I21" s="168">
        <f t="shared" si="0"/>
        <v>59.499789473684217</v>
      </c>
      <c r="J21" s="169" t="s">
        <v>371</v>
      </c>
      <c r="K21" s="163" t="str">
        <f t="shared" si="1"/>
        <v>0x9</v>
      </c>
      <c r="L21" s="163" t="str">
        <f t="shared" si="2"/>
        <v>0xA</v>
      </c>
      <c r="M21" s="164" t="str">
        <f t="shared" si="3"/>
        <v>0x1</v>
      </c>
      <c r="N21" s="100">
        <f t="shared" si="4"/>
        <v>95</v>
      </c>
      <c r="O21" s="168">
        <f t="shared" si="5"/>
        <v>11.899957894736843</v>
      </c>
      <c r="P21" s="169" t="s">
        <v>371</v>
      </c>
      <c r="Q21" s="163" t="str">
        <f t="shared" si="6"/>
        <v>0x2F</v>
      </c>
      <c r="R21" s="163" t="str">
        <f t="shared" si="7"/>
        <v>0x30</v>
      </c>
      <c r="S21" s="164" t="str">
        <f t="shared" si="8"/>
        <v>0x1</v>
      </c>
      <c r="T21" s="38"/>
      <c r="U21" s="38"/>
      <c r="V21" s="38"/>
      <c r="W21" s="38"/>
      <c r="X21" s="38"/>
      <c r="Y21" s="38"/>
      <c r="Z21" s="38"/>
    </row>
    <row r="22" spans="1:26" x14ac:dyDescent="0.35">
      <c r="A22" s="38"/>
      <c r="B22" s="38"/>
      <c r="C22" s="38"/>
      <c r="D22" s="38"/>
      <c r="E22" s="38"/>
      <c r="F22" s="38"/>
      <c r="G22" s="38"/>
      <c r="H22" s="167">
        <v>20</v>
      </c>
      <c r="I22" s="168">
        <f t="shared" si="0"/>
        <v>56.524800000000006</v>
      </c>
      <c r="J22" s="169" t="s">
        <v>371</v>
      </c>
      <c r="K22" s="163" t="str">
        <f t="shared" si="1"/>
        <v>0xA</v>
      </c>
      <c r="L22" s="163" t="str">
        <f t="shared" si="2"/>
        <v>0xA</v>
      </c>
      <c r="M22" s="164" t="str">
        <f t="shared" si="3"/>
        <v>0x0</v>
      </c>
      <c r="N22" s="100">
        <f t="shared" si="4"/>
        <v>100</v>
      </c>
      <c r="O22" s="168">
        <f t="shared" si="5"/>
        <v>11.304960000000001</v>
      </c>
      <c r="P22" s="169" t="s">
        <v>371</v>
      </c>
      <c r="Q22" s="163" t="str">
        <f t="shared" si="6"/>
        <v>0x32</v>
      </c>
      <c r="R22" s="163" t="str">
        <f t="shared" si="7"/>
        <v>0x32</v>
      </c>
      <c r="S22" s="164" t="str">
        <f t="shared" si="8"/>
        <v>0x0</v>
      </c>
      <c r="T22" s="38"/>
      <c r="U22" s="38"/>
      <c r="V22" s="38"/>
      <c r="W22" s="38"/>
      <c r="X22" s="38"/>
      <c r="Y22" s="38"/>
      <c r="Z22" s="38"/>
    </row>
    <row r="23" spans="1:26" x14ac:dyDescent="0.35">
      <c r="A23" s="38"/>
      <c r="B23" s="38"/>
      <c r="C23" s="38"/>
      <c r="D23" s="38"/>
      <c r="E23" s="38"/>
      <c r="F23" s="38"/>
      <c r="G23" s="38"/>
      <c r="H23" s="167">
        <v>21</v>
      </c>
      <c r="I23" s="168">
        <f t="shared" si="0"/>
        <v>53.83314285714286</v>
      </c>
      <c r="J23" s="169" t="s">
        <v>371</v>
      </c>
      <c r="K23" s="163" t="str">
        <f t="shared" si="1"/>
        <v>0xA</v>
      </c>
      <c r="L23" s="163" t="str">
        <f t="shared" si="2"/>
        <v>0xB</v>
      </c>
      <c r="M23" s="164" t="str">
        <f t="shared" si="3"/>
        <v>0x1</v>
      </c>
      <c r="N23" s="100">
        <f t="shared" si="4"/>
        <v>105</v>
      </c>
      <c r="O23" s="168">
        <f t="shared" si="5"/>
        <v>10.766628571428573</v>
      </c>
      <c r="P23" s="169" t="s">
        <v>371</v>
      </c>
      <c r="Q23" s="163" t="str">
        <f t="shared" si="6"/>
        <v>0x34</v>
      </c>
      <c r="R23" s="163" t="str">
        <f t="shared" si="7"/>
        <v>0x35</v>
      </c>
      <c r="S23" s="164" t="str">
        <f t="shared" si="8"/>
        <v>0x1</v>
      </c>
      <c r="T23" s="38"/>
      <c r="U23" s="38"/>
      <c r="V23" s="38"/>
      <c r="W23" s="38"/>
      <c r="X23" s="38"/>
      <c r="Y23" s="38"/>
      <c r="Z23" s="38"/>
    </row>
    <row r="24" spans="1:26" x14ac:dyDescent="0.35">
      <c r="A24" s="38"/>
      <c r="B24" s="38"/>
      <c r="C24" s="38"/>
      <c r="D24" s="38"/>
      <c r="E24" s="38"/>
      <c r="F24" s="38"/>
      <c r="G24" s="38"/>
      <c r="H24" s="167">
        <v>22</v>
      </c>
      <c r="I24" s="168">
        <f t="shared" si="0"/>
        <v>51.386181818181825</v>
      </c>
      <c r="J24" s="169" t="s">
        <v>371</v>
      </c>
      <c r="K24" s="163" t="str">
        <f t="shared" ref="K24:K32" si="9">CONCATENATE("0x",DEC2HEX(H24/2))</f>
        <v>0xB</v>
      </c>
      <c r="L24" s="163" t="str">
        <f t="shared" ref="L24:L32" si="10">CONCATENATE("0x",DEC2HEX((H24/2)+MOD(H24,2)))</f>
        <v>0xB</v>
      </c>
      <c r="M24" s="164" t="str">
        <f t="shared" ref="M24:M32" si="11">CONCATENATE("0x",DEC2HEX(MOD(H24,2)))</f>
        <v>0x0</v>
      </c>
      <c r="N24" s="100">
        <f t="shared" ref="N24:N32" si="12">H24*5</f>
        <v>110</v>
      </c>
      <c r="O24" s="168">
        <f t="shared" si="5"/>
        <v>10.277236363636364</v>
      </c>
      <c r="P24" s="169" t="s">
        <v>371</v>
      </c>
      <c r="Q24" s="163" t="str">
        <f t="shared" ref="Q24:Q32" si="13">CONCATENATE("0x",DEC2HEX(N24/2))</f>
        <v>0x37</v>
      </c>
      <c r="R24" s="163" t="str">
        <f t="shared" ref="R24:R32" si="14">CONCATENATE("0x",DEC2HEX((N24/2)+MOD(N24,2)))</f>
        <v>0x37</v>
      </c>
      <c r="S24" s="164" t="str">
        <f t="shared" ref="S24:S32" si="15">CONCATENATE("0x",DEC2HEX(MOD(N24,2)))</f>
        <v>0x0</v>
      </c>
      <c r="T24" s="38"/>
      <c r="U24" s="38"/>
      <c r="V24" s="38"/>
      <c r="W24" s="38"/>
      <c r="X24" s="38"/>
      <c r="Y24" s="38"/>
      <c r="Z24" s="38"/>
    </row>
    <row r="25" spans="1:26" x14ac:dyDescent="0.35">
      <c r="A25" s="38"/>
      <c r="B25" s="38"/>
      <c r="C25" s="38"/>
      <c r="D25" s="38"/>
      <c r="E25" s="38"/>
      <c r="F25" s="38"/>
      <c r="G25" s="38"/>
      <c r="H25" s="167">
        <v>23</v>
      </c>
      <c r="I25" s="168">
        <f t="shared" si="0"/>
        <v>49.152000000000001</v>
      </c>
      <c r="J25" s="169" t="s">
        <v>371</v>
      </c>
      <c r="K25" s="163" t="str">
        <f t="shared" si="9"/>
        <v>0xB</v>
      </c>
      <c r="L25" s="163" t="str">
        <f t="shared" si="10"/>
        <v>0xC</v>
      </c>
      <c r="M25" s="164" t="str">
        <f t="shared" si="11"/>
        <v>0x1</v>
      </c>
      <c r="N25" s="100">
        <f t="shared" si="12"/>
        <v>115</v>
      </c>
      <c r="O25" s="168">
        <f t="shared" si="5"/>
        <v>9.8304000000000009</v>
      </c>
      <c r="P25" s="169" t="s">
        <v>371</v>
      </c>
      <c r="Q25" s="163" t="str">
        <f t="shared" si="13"/>
        <v>0x39</v>
      </c>
      <c r="R25" s="163" t="str">
        <f t="shared" si="14"/>
        <v>0x3A</v>
      </c>
      <c r="S25" s="164" t="str">
        <f t="shared" si="15"/>
        <v>0x1</v>
      </c>
      <c r="T25" s="38"/>
      <c r="U25" s="38"/>
      <c r="V25" s="38"/>
      <c r="W25" s="38"/>
      <c r="X25" s="38"/>
      <c r="Y25" s="38"/>
      <c r="Z25" s="38"/>
    </row>
    <row r="26" spans="1:26" x14ac:dyDescent="0.35">
      <c r="A26" s="38"/>
      <c r="B26" s="38"/>
      <c r="C26" s="38"/>
      <c r="D26" s="38"/>
      <c r="E26" s="38"/>
      <c r="F26" s="38"/>
      <c r="G26" s="38"/>
      <c r="H26" s="167">
        <v>24</v>
      </c>
      <c r="I26" s="168">
        <f t="shared" si="0"/>
        <v>47.104000000000006</v>
      </c>
      <c r="J26" s="169" t="s">
        <v>371</v>
      </c>
      <c r="K26" s="163" t="str">
        <f t="shared" si="9"/>
        <v>0xC</v>
      </c>
      <c r="L26" s="163" t="str">
        <f t="shared" si="10"/>
        <v>0xC</v>
      </c>
      <c r="M26" s="164" t="str">
        <f t="shared" si="11"/>
        <v>0x0</v>
      </c>
      <c r="N26" s="100">
        <f t="shared" si="12"/>
        <v>120</v>
      </c>
      <c r="O26" s="168">
        <f t="shared" si="5"/>
        <v>9.4208000000000016</v>
      </c>
      <c r="P26" s="169" t="s">
        <v>371</v>
      </c>
      <c r="Q26" s="163" t="str">
        <f t="shared" si="13"/>
        <v>0x3C</v>
      </c>
      <c r="R26" s="163" t="str">
        <f t="shared" si="14"/>
        <v>0x3C</v>
      </c>
      <c r="S26" s="164" t="str">
        <f t="shared" si="15"/>
        <v>0x0</v>
      </c>
      <c r="T26" s="38"/>
      <c r="U26" s="38"/>
      <c r="V26" s="38"/>
      <c r="W26" s="38"/>
      <c r="X26" s="38"/>
      <c r="Y26" s="38"/>
      <c r="Z26" s="38"/>
    </row>
    <row r="27" spans="1:26" x14ac:dyDescent="0.35">
      <c r="A27" s="38"/>
      <c r="B27" s="38"/>
      <c r="C27" s="38"/>
      <c r="D27" s="38"/>
      <c r="E27" s="38"/>
      <c r="F27" s="38"/>
      <c r="G27" s="38"/>
      <c r="H27" s="167">
        <v>25</v>
      </c>
      <c r="I27" s="168">
        <f t="shared" si="0"/>
        <v>45.219840000000005</v>
      </c>
      <c r="J27" s="169" t="s">
        <v>371</v>
      </c>
      <c r="K27" s="163" t="str">
        <f t="shared" si="9"/>
        <v>0xC</v>
      </c>
      <c r="L27" s="163" t="str">
        <f t="shared" si="10"/>
        <v>0xD</v>
      </c>
      <c r="M27" s="164" t="str">
        <f t="shared" si="11"/>
        <v>0x1</v>
      </c>
      <c r="N27" s="100">
        <f t="shared" si="12"/>
        <v>125</v>
      </c>
      <c r="O27" s="168">
        <f t="shared" si="5"/>
        <v>9.0439680000000013</v>
      </c>
      <c r="P27" s="169" t="s">
        <v>371</v>
      </c>
      <c r="Q27" s="163" t="str">
        <f t="shared" si="13"/>
        <v>0x3E</v>
      </c>
      <c r="R27" s="163" t="str">
        <f t="shared" si="14"/>
        <v>0x3F</v>
      </c>
      <c r="S27" s="164" t="str">
        <f t="shared" si="15"/>
        <v>0x1</v>
      </c>
      <c r="T27" s="38"/>
      <c r="U27" s="38"/>
      <c r="V27" s="38"/>
      <c r="W27" s="38"/>
      <c r="X27" s="38"/>
      <c r="Y27" s="38"/>
      <c r="Z27" s="38"/>
    </row>
    <row r="28" spans="1:26" x14ac:dyDescent="0.35">
      <c r="A28" s="38"/>
      <c r="B28" s="38"/>
      <c r="C28" s="38"/>
      <c r="D28" s="38"/>
      <c r="E28" s="38"/>
      <c r="F28" s="38"/>
      <c r="G28" s="38"/>
      <c r="H28" s="167">
        <v>26</v>
      </c>
      <c r="I28" s="168">
        <f t="shared" si="0"/>
        <v>43.48061538461539</v>
      </c>
      <c r="J28" s="169" t="s">
        <v>371</v>
      </c>
      <c r="K28" s="163" t="str">
        <f t="shared" si="9"/>
        <v>0xD</v>
      </c>
      <c r="L28" s="163" t="str">
        <f t="shared" si="10"/>
        <v>0xD</v>
      </c>
      <c r="M28" s="164" t="str">
        <f t="shared" si="11"/>
        <v>0x0</v>
      </c>
      <c r="N28" s="100">
        <f t="shared" si="12"/>
        <v>130</v>
      </c>
      <c r="O28" s="168">
        <f t="shared" si="5"/>
        <v>8.6961230769230777</v>
      </c>
      <c r="P28" s="169" t="s">
        <v>371</v>
      </c>
      <c r="Q28" s="163" t="str">
        <f t="shared" si="13"/>
        <v>0x41</v>
      </c>
      <c r="R28" s="163" t="str">
        <f t="shared" si="14"/>
        <v>0x41</v>
      </c>
      <c r="S28" s="164" t="str">
        <f t="shared" si="15"/>
        <v>0x0</v>
      </c>
      <c r="T28" s="38"/>
      <c r="U28" s="38"/>
      <c r="V28" s="38"/>
      <c r="W28" s="38"/>
      <c r="X28" s="38"/>
      <c r="Y28" s="38"/>
      <c r="Z28" s="38"/>
    </row>
    <row r="29" spans="1:26" x14ac:dyDescent="0.35">
      <c r="A29" s="38"/>
      <c r="B29" s="38"/>
      <c r="C29" s="38"/>
      <c r="D29" s="38"/>
      <c r="E29" s="38"/>
      <c r="F29" s="38"/>
      <c r="G29" s="38"/>
      <c r="H29" s="167">
        <v>27</v>
      </c>
      <c r="I29" s="168">
        <f t="shared" si="0"/>
        <v>41.870222222222225</v>
      </c>
      <c r="J29" s="169" t="s">
        <v>371</v>
      </c>
      <c r="K29" s="163" t="str">
        <f t="shared" si="9"/>
        <v>0xD</v>
      </c>
      <c r="L29" s="163" t="str">
        <f t="shared" si="10"/>
        <v>0xE</v>
      </c>
      <c r="M29" s="164" t="str">
        <f t="shared" si="11"/>
        <v>0x1</v>
      </c>
      <c r="N29" s="100">
        <f t="shared" si="12"/>
        <v>135</v>
      </c>
      <c r="O29" s="168">
        <f t="shared" si="5"/>
        <v>8.3740444444444453</v>
      </c>
      <c r="P29" s="169" t="s">
        <v>371</v>
      </c>
      <c r="Q29" s="163" t="str">
        <f t="shared" si="13"/>
        <v>0x43</v>
      </c>
      <c r="R29" s="163" t="str">
        <f t="shared" si="14"/>
        <v>0x44</v>
      </c>
      <c r="S29" s="164" t="str">
        <f t="shared" si="15"/>
        <v>0x1</v>
      </c>
      <c r="T29" s="38"/>
      <c r="U29" s="38"/>
      <c r="V29" s="38"/>
      <c r="W29" s="38"/>
      <c r="X29" s="38"/>
      <c r="Y29" s="38"/>
      <c r="Z29" s="38"/>
    </row>
    <row r="30" spans="1:26" x14ac:dyDescent="0.35">
      <c r="A30" s="38"/>
      <c r="B30" s="38"/>
      <c r="C30" s="38"/>
      <c r="D30" s="38"/>
      <c r="E30" s="38"/>
      <c r="F30" s="38"/>
      <c r="G30" s="38"/>
      <c r="H30" s="167">
        <v>28</v>
      </c>
      <c r="I30" s="168">
        <f t="shared" si="0"/>
        <v>40.374857142857145</v>
      </c>
      <c r="J30" s="169" t="s">
        <v>371</v>
      </c>
      <c r="K30" s="163" t="str">
        <f t="shared" si="9"/>
        <v>0xE</v>
      </c>
      <c r="L30" s="163" t="str">
        <f t="shared" si="10"/>
        <v>0xE</v>
      </c>
      <c r="M30" s="164" t="str">
        <f t="shared" si="11"/>
        <v>0x0</v>
      </c>
      <c r="N30" s="100">
        <f t="shared" si="12"/>
        <v>140</v>
      </c>
      <c r="O30" s="168">
        <f t="shared" si="5"/>
        <v>8.0749714285714287</v>
      </c>
      <c r="P30" s="169" t="s">
        <v>371</v>
      </c>
      <c r="Q30" s="163" t="str">
        <f t="shared" si="13"/>
        <v>0x46</v>
      </c>
      <c r="R30" s="163" t="str">
        <f t="shared" si="14"/>
        <v>0x46</v>
      </c>
      <c r="S30" s="164" t="str">
        <f t="shared" si="15"/>
        <v>0x0</v>
      </c>
      <c r="T30" s="38"/>
      <c r="U30" s="38"/>
      <c r="V30" s="38"/>
      <c r="W30" s="38"/>
      <c r="X30" s="38"/>
      <c r="Y30" s="38"/>
      <c r="Z30" s="38"/>
    </row>
    <row r="31" spans="1:26" x14ac:dyDescent="0.35">
      <c r="H31" s="167">
        <v>29</v>
      </c>
      <c r="I31" s="168">
        <f t="shared" si="0"/>
        <v>38.982620689655178</v>
      </c>
      <c r="J31" s="169" t="s">
        <v>371</v>
      </c>
      <c r="K31" s="163" t="str">
        <f t="shared" si="9"/>
        <v>0xE</v>
      </c>
      <c r="L31" s="163" t="str">
        <f t="shared" si="10"/>
        <v>0xF</v>
      </c>
      <c r="M31" s="164" t="str">
        <f t="shared" si="11"/>
        <v>0x1</v>
      </c>
      <c r="N31" s="100">
        <f t="shared" si="12"/>
        <v>145</v>
      </c>
      <c r="O31" s="168">
        <f t="shared" si="5"/>
        <v>7.7965241379310353</v>
      </c>
      <c r="P31" s="169" t="s">
        <v>371</v>
      </c>
      <c r="Q31" s="163" t="str">
        <f t="shared" si="13"/>
        <v>0x48</v>
      </c>
      <c r="R31" s="163" t="str">
        <f t="shared" si="14"/>
        <v>0x49</v>
      </c>
      <c r="S31" s="164" t="str">
        <f t="shared" si="15"/>
        <v>0x1</v>
      </c>
    </row>
    <row r="32" spans="1:26" x14ac:dyDescent="0.35">
      <c r="H32" s="167">
        <v>30</v>
      </c>
      <c r="I32" s="168">
        <f t="shared" si="0"/>
        <v>37.683200000000006</v>
      </c>
      <c r="J32" s="169" t="s">
        <v>371</v>
      </c>
      <c r="K32" s="163" t="str">
        <f t="shared" si="9"/>
        <v>0xF</v>
      </c>
      <c r="L32" s="163" t="str">
        <f t="shared" si="10"/>
        <v>0xF</v>
      </c>
      <c r="M32" s="164" t="str">
        <f t="shared" si="11"/>
        <v>0x0</v>
      </c>
      <c r="N32" s="100">
        <f t="shared" si="12"/>
        <v>150</v>
      </c>
      <c r="O32" s="168">
        <f t="shared" si="5"/>
        <v>7.5366400000000002</v>
      </c>
      <c r="P32" s="169" t="s">
        <v>371</v>
      </c>
      <c r="Q32" s="163" t="str">
        <f t="shared" si="13"/>
        <v>0x4B</v>
      </c>
      <c r="R32" s="163" t="str">
        <f t="shared" si="14"/>
        <v>0x4B</v>
      </c>
      <c r="S32" s="164" t="str">
        <f t="shared" si="15"/>
        <v>0x0</v>
      </c>
    </row>
    <row r="33" spans="8:19" x14ac:dyDescent="0.35">
      <c r="H33" s="167">
        <v>31</v>
      </c>
      <c r="I33" s="168">
        <f t="shared" si="0"/>
        <v>36.467612903225806</v>
      </c>
      <c r="J33" s="169" t="s">
        <v>371</v>
      </c>
      <c r="K33" s="163" t="str">
        <f t="shared" ref="K33:K34" si="16">CONCATENATE("0x",DEC2HEX(H33/2))</f>
        <v>0xF</v>
      </c>
      <c r="L33" s="163" t="str">
        <f t="shared" ref="L33:L34" si="17">CONCATENATE("0x",DEC2HEX((H33/2)+MOD(H33,2)))</f>
        <v>0x10</v>
      </c>
      <c r="M33" s="164" t="str">
        <f t="shared" ref="M33:M34" si="18">CONCATENATE("0x",DEC2HEX(MOD(H33,2)))</f>
        <v>0x1</v>
      </c>
      <c r="N33" s="100">
        <f t="shared" ref="N33:N34" si="19">H33*5</f>
        <v>155</v>
      </c>
      <c r="O33" s="168">
        <f t="shared" si="5"/>
        <v>7.2935225806451616</v>
      </c>
      <c r="P33" s="169" t="s">
        <v>371</v>
      </c>
      <c r="Q33" s="163" t="str">
        <f t="shared" ref="Q33:Q34" si="20">CONCATENATE("0x",DEC2HEX(N33/2))</f>
        <v>0x4D</v>
      </c>
      <c r="R33" s="163" t="str">
        <f t="shared" ref="R33:R34" si="21">CONCATENATE("0x",DEC2HEX((N33/2)+MOD(N33,2)))</f>
        <v>0x4E</v>
      </c>
      <c r="S33" s="164" t="str">
        <f t="shared" ref="S33:S34" si="22">CONCATENATE("0x",DEC2HEX(MOD(N33,2)))</f>
        <v>0x1</v>
      </c>
    </row>
    <row r="34" spans="8:19" ht="15" thickBot="1" x14ac:dyDescent="0.4">
      <c r="H34" s="170">
        <v>32</v>
      </c>
      <c r="I34" s="171">
        <f t="shared" si="0"/>
        <v>35.328000000000003</v>
      </c>
      <c r="J34" s="172" t="s">
        <v>371</v>
      </c>
      <c r="K34" s="165" t="str">
        <f t="shared" si="16"/>
        <v>0x10</v>
      </c>
      <c r="L34" s="165" t="str">
        <f t="shared" si="17"/>
        <v>0x10</v>
      </c>
      <c r="M34" s="166" t="str">
        <f t="shared" si="18"/>
        <v>0x0</v>
      </c>
      <c r="N34" s="173">
        <f t="shared" si="19"/>
        <v>160</v>
      </c>
      <c r="O34" s="171">
        <f t="shared" si="5"/>
        <v>7.0656000000000008</v>
      </c>
      <c r="P34" s="172" t="s">
        <v>371</v>
      </c>
      <c r="Q34" s="165" t="str">
        <f t="shared" si="20"/>
        <v>0x50</v>
      </c>
      <c r="R34" s="165" t="str">
        <f t="shared" si="21"/>
        <v>0x50</v>
      </c>
      <c r="S34" s="166" t="str">
        <f t="shared" si="22"/>
        <v>0x0</v>
      </c>
    </row>
    <row r="35" spans="8:19" ht="15" thickBot="1" x14ac:dyDescent="0.4"/>
    <row r="36" spans="8:19" x14ac:dyDescent="0.35">
      <c r="H36" s="251" t="s">
        <v>392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3"/>
    </row>
    <row r="37" spans="8:19" ht="15" thickBot="1" x14ac:dyDescent="0.4">
      <c r="H37" s="254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6"/>
    </row>
  </sheetData>
  <mergeCells count="16">
    <mergeCell ref="B8:C8"/>
    <mergeCell ref="E8:F8"/>
    <mergeCell ref="U10:X10"/>
    <mergeCell ref="U14:X14"/>
    <mergeCell ref="H36:S37"/>
    <mergeCell ref="N2:S2"/>
    <mergeCell ref="O3:P3"/>
    <mergeCell ref="U2:Y2"/>
    <mergeCell ref="U6:Y6"/>
    <mergeCell ref="B5:C5"/>
    <mergeCell ref="D7:E7"/>
    <mergeCell ref="E5:F5"/>
    <mergeCell ref="B2:C2"/>
    <mergeCell ref="E2:F2"/>
    <mergeCell ref="H2:M2"/>
    <mergeCell ref="I3:J3"/>
  </mergeCells>
  <phoneticPr fontId="3" type="noConversion"/>
  <conditionalFormatting sqref="E3">
    <cfRule type="cellIs" dxfId="2" priority="1" operator="greaterThan">
      <formula>1300</formula>
    </cfRule>
  </conditionalFormatting>
  <conditionalFormatting sqref="I4:I34">
    <cfRule type="cellIs" dxfId="1" priority="3" operator="greaterThan">
      <formula>325</formula>
    </cfRule>
  </conditionalFormatting>
  <conditionalFormatting sqref="O4:O34">
    <cfRule type="cellIs" dxfId="0" priority="2" operator="greaterThan">
      <formula>62.5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AFEF-4713-4DCA-A846-8E702574DA1C}">
  <dimension ref="B3"/>
  <sheetViews>
    <sheetView workbookViewId="0">
      <selection activeCell="C65" sqref="A65:C65"/>
    </sheetView>
  </sheetViews>
  <sheetFormatPr defaultRowHeight="14.5" x14ac:dyDescent="0.35"/>
  <sheetData>
    <row r="3" spans="2:2" x14ac:dyDescent="0.35">
      <c r="B3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System Control</vt:lpstr>
      <vt:lpstr>PLL Control</vt:lpstr>
      <vt:lpstr>Memory Controller</vt:lpstr>
      <vt:lpstr>Display Timing</vt:lpstr>
      <vt:lpstr>Display Processor</vt:lpstr>
      <vt:lpstr>Display Context</vt:lpstr>
      <vt:lpstr>Blitter</vt:lpstr>
      <vt:lpstr>Color Lookup Table</vt:lpstr>
      <vt:lpstr>Display List</vt:lpstr>
      <vt:lpstr>PLL Configuration</vt:lpstr>
      <vt:lpstr>PCMCIA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Achten</dc:creator>
  <cp:lastModifiedBy>Oliver Achten</cp:lastModifiedBy>
  <dcterms:created xsi:type="dcterms:W3CDTF">2025-09-18T06:49:24Z</dcterms:created>
  <dcterms:modified xsi:type="dcterms:W3CDTF">2026-03-15T15:57:00Z</dcterms:modified>
</cp:coreProperties>
</file>